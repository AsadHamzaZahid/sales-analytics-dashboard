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500"/>
  </bookViews>
  <sheets>
    <sheet name="Sales Data" sheetId="1" r:id="rId1"/>
    <sheet name="Practice Questions" sheetId="2" r:id="rId2"/>
    <sheet name="Workspace" sheetId="3" r:id="rId3"/>
    <sheet name="Pivo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<sst xmlns="http://schemas.openxmlformats.org/spreadsheetml/2006/main" count="1178" uniqueCount="125">
  <si>
    <t>Order ID</t>
  </si>
  <si>
    <t>Date</t>
  </si>
  <si>
    <t>Region</t>
  </si>
  <si>
    <t>Salesperson</t>
  </si>
  <si>
    <t>Product</t>
  </si>
  <si>
    <t>Category</t>
  </si>
  <si>
    <t>Units Sold</t>
  </si>
  <si>
    <t>Unit Price</t>
  </si>
  <si>
    <t>Discount</t>
  </si>
  <si>
    <t>Customer Type</t>
  </si>
  <si>
    <t>Total Sale</t>
  </si>
  <si>
    <t>Discount Amount</t>
  </si>
  <si>
    <t>Order Size</t>
  </si>
  <si>
    <t>High Value</t>
  </si>
  <si>
    <t>Revenue per Unit</t>
  </si>
  <si>
    <t>South</t>
  </si>
  <si>
    <t>Bilal Ahmed</t>
  </si>
  <si>
    <t>Wireless Mouse</t>
  </si>
  <si>
    <t>Electronics</t>
  </si>
  <si>
    <t>Online</t>
  </si>
  <si>
    <t>North</t>
  </si>
  <si>
    <t>Sana Khan</t>
  </si>
  <si>
    <t>Webcam</t>
  </si>
  <si>
    <t>Retail</t>
  </si>
  <si>
    <t>Central</t>
  </si>
  <si>
    <t>Zainab Iqbal</t>
  </si>
  <si>
    <t>West</t>
  </si>
  <si>
    <t>Hina Farooq</t>
  </si>
  <si>
    <t>Desk Lamp</t>
  </si>
  <si>
    <t>Furniture</t>
  </si>
  <si>
    <t>Wholesale</t>
  </si>
  <si>
    <t>Standing Desk</t>
  </si>
  <si>
    <t>Notebook Pack</t>
  </si>
  <si>
    <t>Stationery</t>
  </si>
  <si>
    <t>Ayesha Malik</t>
  </si>
  <si>
    <t>Laptop</t>
  </si>
  <si>
    <t>East</t>
  </si>
  <si>
    <t>Filing Cabinet</t>
  </si>
  <si>
    <t>Monitor</t>
  </si>
  <si>
    <t>Ali Raza</t>
  </si>
  <si>
    <t>Pen Set</t>
  </si>
  <si>
    <t>Office Chair</t>
  </si>
  <si>
    <t>Hamza Sheikh</t>
  </si>
  <si>
    <t>Usman Tariq</t>
  </si>
  <si>
    <t>Excel Practice Questions — exact cells to use</t>
  </si>
  <si>
    <t>Data is on 'Sales Data' (rows 2-201). Answers/formulas go in the yellow cells on 'Sales Data' (columns K-O) or on 'Workspace'. Type formulas yourself — the cell references below tell you exactly where.</t>
  </si>
  <si>
    <t>Part 1: Basic Formulas</t>
  </si>
  <si>
    <t>1.</t>
  </si>
  <si>
    <t>'Sales Data'!K2 → calculate Total Sale = Units Sold x Unit Price x (1 - Discount). Copy down to K201.</t>
  </si>
  <si>
    <t>2.</t>
  </si>
  <si>
    <t>'Sales Data'!L2 → calculate Discount Amount = Units Sold x Unit Price x Discount. Copy down to L201.</t>
  </si>
  <si>
    <t>3.</t>
  </si>
  <si>
    <t>'Workspace'!B4 → Total Revenue: sum all of 'Sales Data'!K2:K201.</t>
  </si>
  <si>
    <t>4.</t>
  </si>
  <si>
    <t>'Workspace'!B5 → Average Unit Price: average of 'Sales Data'!H2:H201.</t>
  </si>
  <si>
    <t>5.</t>
  </si>
  <si>
    <t>'Workspace'!B6 → Minimum Unit Price: minimum of 'Sales Data'!H2:H201.</t>
  </si>
  <si>
    <t>6.</t>
  </si>
  <si>
    <t>'Workspace'!B7 → Maximum Unit Price: maximum of 'Sales Data'!H2:H201.</t>
  </si>
  <si>
    <t>7.</t>
  </si>
  <si>
    <t>'Workspace'!B8 → Total Number of Orders: count the entries in 'Sales Data'!A2:A201.</t>
  </si>
  <si>
    <t>Part 2: Logical Functions (IF, AND, OR, nested IF, IFERROR)</t>
  </si>
  <si>
    <t>'Sales Data'!M2 → Order Size: nested IF using 'Sales Data'!G2 (Units Sold) — 'Small' if under 10, 'Medium' if 10-25, 'Large' if over 25. Copy down to M201.</t>
  </si>
  <si>
    <t>'Sales Data'!N2 → High Value: 'Yes' if K2 (Total Sale) is over 2000 AND J2 (Customer Type) is 'Wholesale', otherwise 'No'. Use IF + AND. Copy down to N201.</t>
  </si>
  <si>
    <t>'Sales Data'!O2 → Revenue per Unit: K2 divided by G2, wrapped in IFERROR so it shows 'N/A' instead of an error if G2 is 0 or blank. Copy down to O201.</t>
  </si>
  <si>
    <t>Part 3: Lookup Functions (VLOOKUP / INDEX-MATCH)</t>
  </si>
  <si>
    <t>'Workspace'!A12:B21 → list the 10 unique Products with their Category (check 'Sales Data' columns E and F to find each pair — there are exactly 10 distinct products).</t>
  </si>
  <si>
    <t>'Workspace'!B23 → type any product name exactly as it appears in your table above.</t>
  </si>
  <si>
    <t>'Workspace'!B24 → use VLOOKUP to look up B23 in 'Workspace'!A12:B21 and return the Category (column 2, exact match).</t>
  </si>
  <si>
    <t>'Workspace'!B25 → use INDEX + MATCH to find the Salesperson ('Sales Data'!D2:D201) on the row where Total Sale ('Sales Data'!K2:K201) is at its maximum.</t>
  </si>
  <si>
    <t>Part 4: Conditional Aggregation (SUMIF/SUMIFS, COUNTIF, AVERAGEIF)</t>
  </si>
  <si>
    <t>'Workspace'!B28 → SUMIF: total 'Sales Data'!K2:K201 where 'Sales Data'!C2:C201 (Region) equals 'North'.</t>
  </si>
  <si>
    <t>'Workspace'!B29 → SUMIFS: total 'Sales Data'!K2:K201 where Category ('Sales Data'!F2:F201) is 'Electronics' AND Salesperson ('Sales Data'!D2:D201) is 'Ali Raza'.</t>
  </si>
  <si>
    <t>'Workspace'!B31:B38 → COUNTIF: for each Salesperson listed in A31:A38, count their matching orders in 'Sales Data'!D2:D201.</t>
  </si>
  <si>
    <t>'Workspace'!B40 → AVERAGEIF: average 'Sales Data'!H2:H201 (Unit Price) where 'Sales Data'!J2:J201 (Customer Type) is 'Online'.</t>
  </si>
  <si>
    <t>Part 5: Pivot Tables</t>
  </si>
  <si>
    <t>Click any cell inside 'Sales Data'!A1:O201, then Insert &gt; PivotTable &gt; New Worksheet. Drag Region into Rows and Total Sale into Values (set to Sum) to get Total Revenue by Region.</t>
  </si>
  <si>
    <t>In that same pivot, drag Category into Rows underneath Region to break each region's total down by category.</t>
  </si>
  <si>
    <t>Build a second pivot with Salesperson in Rows and Total Sale in Values, then Insert &gt; PivotChart &gt; Clustered Column to visualize revenue by salesperson.</t>
  </si>
  <si>
    <t>Drag Customer Type into the Filters area of either pivot and filter it to 'Wholesale' — watch the totals update.</t>
  </si>
  <si>
    <t>Part 6: Conditional Formatting</t>
  </si>
  <si>
    <t>Select 'Sales Data'!K2:K201 → Home &gt; Conditional Formatting &gt; Highlight Cells Rules &gt; Greater Than &gt; 3000 → Green Fill.</t>
  </si>
  <si>
    <t>Select 'Sales Data'!H2:H201 → Conditional Formatting &gt; Color Scales &gt; choose a 3-color scale (green-yellow-red).</t>
  </si>
  <si>
    <t>Select 'Sales Data'!I2:I201 → Conditional Formatting &gt; Icon Sets &gt; 3 Traffic Lights, so discounts of 10% or more stand out.</t>
  </si>
  <si>
    <t>Part 7: Data Validation &amp; Cleaning</t>
  </si>
  <si>
    <t>'Workspace'!B43 already has a dropdown list applied (North/South/East/West/Central) — click it, confirm the arrow shows, and test selecting each option.</t>
  </si>
  <si>
    <t>In a spare cell (e.g. 'Sales Data'!Q2) type =TRIM('Sales Data'!D2) and copy down to Q201, then compare against column D to confirm there are no extra spaces.</t>
  </si>
  <si>
    <t>Select 'Sales Data'!A2:A201 (Order ID) → Conditional Formatting &gt; Highlight Cells Rules &gt; Duplicate Values — confirm nothing highlights (no duplicate Order IDs).</t>
  </si>
  <si>
    <t>Part 8: Charts</t>
  </si>
  <si>
    <t>Build a small summary table (e.g. in a spare area of 'Workspace') of each Product with total revenue using SUMIF, then select it and Insert &gt; Column Chart.</t>
  </si>
  <si>
    <t>In 'Sales Data'!P2 type =TEXT(B2,"mmm-yyyy") and copy down to P201 to get a Month label. Build a monthly totals table with SUMIF against column P, then Insert &gt; Line Chart to show the revenue trend.</t>
  </si>
  <si>
    <t>Build a 5-row summary table of total revenue by Category using SUMIF, then select it and Insert &gt; Pie Chart.</t>
  </si>
  <si>
    <t>Workspace — enter your formulas/answers in the yellow cells</t>
  </si>
  <si>
    <t>Total Revenue (sum of Sales Data column K)</t>
  </si>
  <si>
    <t>Average Unit Price (Sales Data column H)</t>
  </si>
  <si>
    <t>Minimum Unit Price</t>
  </si>
  <si>
    <t>Maximum Unit Price</t>
  </si>
  <si>
    <t>Total Number of Orders</t>
  </si>
  <si>
    <t>Part 3: Lookup Table (fill Product + Category, 10 unique products)</t>
  </si>
  <si>
    <t>Type any product name here</t>
  </si>
  <si>
    <t>VLOOKUP result (Category, from table above)</t>
  </si>
  <si>
    <t>Salesperson with the single highest Total Sale (INDEX+MATCH)</t>
  </si>
  <si>
    <t>Part 4: Conditional Aggregation</t>
  </si>
  <si>
    <t>Total Revenue — Region = North only (SUMIF)</t>
  </si>
  <si>
    <t>Total Revenue — Category=Electronics AND Salesperson=Ali Raza (SUMIFS)</t>
  </si>
  <si>
    <t>Order Count</t>
  </si>
  <si>
    <t>Average Unit Price — Customer Type = Online only (AVERAGEIF)</t>
  </si>
  <si>
    <t>Part 7: Data Validation test cell</t>
  </si>
  <si>
    <t>Region dropdown (apply Data Validation list here)</t>
  </si>
  <si>
    <t>Revenue by Region x Category (built with SUMIFS — recreate as a real PivotTable via Insert &gt; PivotTable for practice)</t>
  </si>
  <si>
    <t>Total</t>
  </si>
  <si>
    <t>Total Revenue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</si>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</sst>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"/>
    <numFmt numFmtId="177" formatCode="&quot;$&quot;#,##0.00"/>
    <numFmt numFmtId="178" formatCode="mm/dd/yyyy"/>
  </numFmts>
  <fonts count="30">
    <font>
      <sz val="11"/>
      <color theme="1"/>
      <name val="Calibri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4"/>
      <name val="Arial"/>
      <charset val="1"/>
    </font>
    <font>
      <b/>
      <sz val="12"/>
      <color rgb="FF1F4E78"/>
      <name val="Arial"/>
      <charset val="1"/>
    </font>
    <font>
      <sz val="11"/>
      <name val="Arial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C6EFCE"/>
      </patternFill>
    </fill>
    <fill>
      <patternFill patternType="solid">
        <fgColor rgb="FFFFF2CC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Border="1"/>
    <xf numFmtId="0" fontId="2" fillId="2" borderId="0" xfId="0" applyFont="1" applyFill="1"/>
    <xf numFmtId="0" fontId="3" fillId="0" borderId="0" xfId="0" applyFont="1"/>
    <xf numFmtId="176" fontId="0" fillId="0" borderId="0" xfId="0" applyNumberFormat="1"/>
    <xf numFmtId="176" fontId="3" fillId="0" borderId="0" xfId="0" applyNumberFormat="1" applyFont="1"/>
    <xf numFmtId="0" fontId="4" fillId="0" borderId="0" xfId="0" applyFont="1" applyBorder="1"/>
    <xf numFmtId="0" fontId="5" fillId="0" borderId="0" xfId="0" applyFont="1"/>
    <xf numFmtId="0" fontId="6" fillId="0" borderId="0" xfId="0" applyFont="1" applyAlignment="1">
      <alignment wrapText="1"/>
    </xf>
    <xf numFmtId="177" fontId="7" fillId="3" borderId="0" xfId="0" applyNumberFormat="1" applyFont="1" applyFill="1"/>
    <xf numFmtId="0" fontId="7" fillId="3" borderId="0" xfId="0" applyFont="1" applyFill="1"/>
    <xf numFmtId="0" fontId="0" fillId="3" borderId="0" xfId="0" applyFont="1" applyFill="1"/>
    <xf numFmtId="0" fontId="6" fillId="0" borderId="0" xfId="0" applyFont="1"/>
    <xf numFmtId="0" fontId="0" fillId="4" borderId="0" xfId="0" applyFill="1"/>
    <xf numFmtId="0" fontId="8" fillId="0" borderId="0" xfId="0" applyFont="1" applyBorder="1"/>
    <xf numFmtId="0" fontId="5" fillId="0" borderId="0" xfId="0" applyFont="1" applyBorder="1"/>
    <xf numFmtId="0" fontId="6" fillId="0" borderId="0" xfId="0" applyFont="1" applyAlignment="1">
      <alignment vertical="top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7" fillId="0" borderId="0" xfId="0" applyFont="1"/>
    <xf numFmtId="178" fontId="7" fillId="0" borderId="0" xfId="0" applyNumberFormat="1" applyFont="1"/>
    <xf numFmtId="177" fontId="7" fillId="0" borderId="0" xfId="0" applyNumberFormat="1" applyFont="1"/>
    <xf numFmtId="9" fontId="7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2CC"/>
      <rgbColor rgb="00E2EFDA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4A7EBB"/>
      <rgbColor rgb="0033CCCC"/>
      <rgbColor rgb="009BBB59"/>
      <rgbColor rgb="00FFCC00"/>
      <rgbColor rgb="00FF9900"/>
      <rgbColor rgb="00FF6600"/>
      <rgbColor rgb="00595959"/>
      <rgbColor rgb="00878787"/>
      <rgbColor rgb="00003366"/>
      <rgbColor rgb="004F81BD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Total Revenue by Salesperson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Summary'!$B$12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Summary'!$A$13:$A$20</c:f>
              <c:strCache>
                <c:ptCount val="8"/>
                <c:pt idx="0">
                  <c:v>Ali Raza</c:v>
                </c:pt>
                <c:pt idx="1">
                  <c:v>Sana Khan</c:v>
                </c:pt>
                <c:pt idx="2">
                  <c:v>Bilal Ahmed</c:v>
                </c:pt>
                <c:pt idx="3">
                  <c:v>Ayesha Malik</c:v>
                </c:pt>
                <c:pt idx="4">
                  <c:v>Usman Tariq</c:v>
                </c:pt>
                <c:pt idx="5">
                  <c:v>Hina Farooq</c:v>
                </c:pt>
                <c:pt idx="6">
                  <c:v>Zainab Iqbal</c:v>
                </c:pt>
                <c:pt idx="7">
                  <c:v>Hamza Sheikh</c:v>
                </c:pt>
              </c:strCache>
            </c:strRef>
          </c:cat>
          <c:val>
            <c:numRef>
              <c:f>'Pivot Summary'!$B$13:$B$20</c:f>
              <c:numCache>
                <c:formatCode>"$"#,##0</c:formatCode>
                <c:ptCount val="8"/>
                <c:pt idx="0">
                  <c:v>40809.063</c:v>
                </c:pt>
                <c:pt idx="1">
                  <c:v>140812.0105</c:v>
                </c:pt>
                <c:pt idx="2">
                  <c:v>85459.081</c:v>
                </c:pt>
                <c:pt idx="3">
                  <c:v>69110.9055</c:v>
                </c:pt>
                <c:pt idx="4">
                  <c:v>64964.6275</c:v>
                </c:pt>
                <c:pt idx="5">
                  <c:v>59606.1205</c:v>
                </c:pt>
                <c:pt idx="6">
                  <c:v>124203.344</c:v>
                </c:pt>
                <c:pt idx="7">
                  <c:v>91438.574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35719777"/>
        <c:axId val="23137540"/>
      </c:barChart>
      <c:catAx>
        <c:axId val="357197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Salesperson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3137540"/>
        <c:crosses val="autoZero"/>
        <c:auto val="1"/>
        <c:lblAlgn val="ctr"/>
        <c:lblOffset val="100"/>
        <c:noMultiLvlLbl val="0"/>
      </c:catAx>
      <c:valAx>
        <c:axId val="2313754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Revenue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57197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891c7e-4912-440d-ac95-d9fef029d40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Monthly Revenue Trend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Summary'!$B$23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Summary'!$A$24:$A$35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Summary'!$B$24:$B$35</c:f>
              <c:numCache>
                <c:formatCode>"$"#,##0</c:formatCode>
                <c:ptCount val="12"/>
                <c:pt idx="0">
                  <c:v>43511.111</c:v>
                </c:pt>
                <c:pt idx="1">
                  <c:v>90983.572</c:v>
                </c:pt>
                <c:pt idx="2">
                  <c:v>93264.4405</c:v>
                </c:pt>
                <c:pt idx="3">
                  <c:v>31611.668</c:v>
                </c:pt>
                <c:pt idx="4">
                  <c:v>25301.302</c:v>
                </c:pt>
                <c:pt idx="5">
                  <c:v>80923.2295</c:v>
                </c:pt>
                <c:pt idx="6">
                  <c:v>56865.0885</c:v>
                </c:pt>
                <c:pt idx="7">
                  <c:v>61804.5505</c:v>
                </c:pt>
                <c:pt idx="8">
                  <c:v>16237.6485</c:v>
                </c:pt>
                <c:pt idx="9">
                  <c:v>61012.5545</c:v>
                </c:pt>
                <c:pt idx="10">
                  <c:v>67488.729</c:v>
                </c:pt>
                <c:pt idx="11">
                  <c:v>47399.832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86427860"/>
        <c:axId val="85857037"/>
      </c:lineChart>
      <c:catAx>
        <c:axId val="8642786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Month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5857037"/>
        <c:crosses val="autoZero"/>
        <c:auto val="1"/>
        <c:lblAlgn val="ctr"/>
        <c:lblOffset val="100"/>
        <c:noMultiLvlLbl val="0"/>
      </c:catAx>
      <c:valAx>
        <c:axId val="8585703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Revenue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6427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08c4d8-6415-44e7-817e-dbf1ac56b7b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Revenue Share by Category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Summary'!$B$38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'Pivot Summary'!$A$39:$A$41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'Pivot Summary'!$B$39:$B$41</c:f>
              <c:numCache>
                <c:formatCode>"$"#,##0</c:formatCode>
                <c:ptCount val="3"/>
                <c:pt idx="0">
                  <c:v>395179.355</c:v>
                </c:pt>
                <c:pt idx="1">
                  <c:v>273020.9155</c:v>
                </c:pt>
                <c:pt idx="2">
                  <c:v>8203.4555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3849bb-bbce-4020-9c32-9fd4c788742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12</xdr:col>
      <xdr:colOff>225720</xdr:colOff>
      <xdr:row>20</xdr:row>
      <xdr:rowOff>170640</xdr:rowOff>
    </xdr:to>
    <xdr:graphicFrame>
      <xdr:nvGraphicFramePr>
        <xdr:cNvPr id="2" name="Chart 1"/>
        <xdr:cNvGraphicFramePr/>
      </xdr:nvGraphicFramePr>
      <xdr:xfrm>
        <a:off x="3073400" y="368300"/>
        <a:ext cx="6426200" cy="348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22</xdr:row>
      <xdr:rowOff>0</xdr:rowOff>
    </xdr:from>
    <xdr:to>
      <xdr:col>12</xdr:col>
      <xdr:colOff>225720</xdr:colOff>
      <xdr:row>40</xdr:row>
      <xdr:rowOff>170640</xdr:rowOff>
    </xdr:to>
    <xdr:graphicFrame>
      <xdr:nvGraphicFramePr>
        <xdr:cNvPr id="3" name="Chart 2"/>
        <xdr:cNvGraphicFramePr/>
      </xdr:nvGraphicFramePr>
      <xdr:xfrm>
        <a:off x="3073400" y="4051300"/>
        <a:ext cx="6426200" cy="348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42</xdr:row>
      <xdr:rowOff>0</xdr:rowOff>
    </xdr:from>
    <xdr:to>
      <xdr:col>8</xdr:col>
      <xdr:colOff>511560</xdr:colOff>
      <xdr:row>60</xdr:row>
      <xdr:rowOff>170640</xdr:rowOff>
    </xdr:to>
    <xdr:graphicFrame>
      <xdr:nvGraphicFramePr>
        <xdr:cNvPr id="4" name="Chart 3"/>
        <xdr:cNvGraphicFramePr/>
      </xdr:nvGraphicFramePr>
      <xdr:xfrm>
        <a:off x="3073400" y="7734300"/>
        <a:ext cx="4286250" cy="348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1"/>
  <sheetViews>
    <sheetView tabSelected="1" workbookViewId="0">
      <pane ySplit="1" topLeftCell="A2" activePane="bottomLeft" state="frozen"/>
      <selection/>
      <selection pane="bottomLeft" activeCell="G8" sqref="G8"/>
    </sheetView>
  </sheetViews>
  <sheetFormatPr defaultColWidth="8.68181818181818" defaultRowHeight="14.5"/>
  <cols>
    <col min="1" max="1" width="10" customWidth="1"/>
    <col min="2" max="2" width="12" customWidth="1"/>
    <col min="3" max="3" width="10" customWidth="1"/>
    <col min="4" max="5" width="16" customWidth="1"/>
    <col min="6" max="6" width="12" customWidth="1"/>
    <col min="7" max="8" width="11" customWidth="1"/>
    <col min="9" max="9" width="10" customWidth="1"/>
    <col min="10" max="15" width="14" customWidth="1"/>
  </cols>
  <sheetData>
    <row r="1" ht="28" spans="1: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8" t="s">
        <v>9</v>
      </c>
      <c r="K1" s="17" t="s">
        <v>10</v>
      </c>
      <c r="L1" s="18" t="s">
        <v>11</v>
      </c>
      <c r="M1" s="17" t="s">
        <v>12</v>
      </c>
      <c r="N1" s="17" t="s">
        <v>13</v>
      </c>
      <c r="O1" s="18" t="s">
        <v>14</v>
      </c>
    </row>
    <row r="2" spans="1:15">
      <c r="A2" s="19">
        <v>1001</v>
      </c>
      <c r="B2" s="20">
        <v>45985</v>
      </c>
      <c r="C2" s="19" t="s">
        <v>15</v>
      </c>
      <c r="D2" s="19" t="s">
        <v>16</v>
      </c>
      <c r="E2" s="19" t="s">
        <v>17</v>
      </c>
      <c r="F2" s="19" t="s">
        <v>18</v>
      </c>
      <c r="G2" s="19">
        <v>18</v>
      </c>
      <c r="H2" s="21">
        <v>23.1</v>
      </c>
      <c r="I2" s="22">
        <v>0</v>
      </c>
      <c r="J2" s="19" t="s">
        <v>19</v>
      </c>
      <c r="K2" s="9">
        <f t="shared" ref="K2:K65" si="0">G2*H2*(1-I2)</f>
        <v>415.8</v>
      </c>
      <c r="L2" s="9">
        <f t="shared" ref="L2:L65" si="1">G2*H2*I2</f>
        <v>0</v>
      </c>
      <c r="M2" s="10" t="str">
        <f t="shared" ref="M2:M65" si="2">IF(G2&lt;10,"Small",IF(G2&lt;=25,"Medium","Large"))</f>
        <v>Medium</v>
      </c>
      <c r="N2" s="10" t="str">
        <f t="shared" ref="N2:N65" si="3">IF(AND(K2&gt;2000,J2="Wholesale"),"Yes","No")</f>
        <v>No</v>
      </c>
      <c r="O2" s="9">
        <f t="shared" ref="O2:O65" si="4">IFERROR(K2/G2,"N/A")</f>
        <v>23.1</v>
      </c>
    </row>
    <row r="3" spans="1:15">
      <c r="A3" s="19">
        <v>1002</v>
      </c>
      <c r="B3" s="20">
        <v>45710</v>
      </c>
      <c r="C3" s="19" t="s">
        <v>20</v>
      </c>
      <c r="D3" s="19" t="s">
        <v>21</v>
      </c>
      <c r="E3" s="19" t="s">
        <v>22</v>
      </c>
      <c r="F3" s="19" t="s">
        <v>18</v>
      </c>
      <c r="G3" s="19">
        <v>28</v>
      </c>
      <c r="H3" s="21">
        <v>56.03</v>
      </c>
      <c r="I3" s="22">
        <v>0</v>
      </c>
      <c r="J3" s="19" t="s">
        <v>23</v>
      </c>
      <c r="K3" s="9">
        <f t="shared" si="0"/>
        <v>1568.84</v>
      </c>
      <c r="L3" s="9">
        <f t="shared" si="1"/>
        <v>0</v>
      </c>
      <c r="M3" s="10" t="str">
        <f t="shared" si="2"/>
        <v>Large</v>
      </c>
      <c r="N3" s="10" t="str">
        <f t="shared" si="3"/>
        <v>No</v>
      </c>
      <c r="O3" s="9">
        <f t="shared" si="4"/>
        <v>56.03</v>
      </c>
    </row>
    <row r="4" spans="1:15">
      <c r="A4" s="19">
        <v>1003</v>
      </c>
      <c r="B4" s="20">
        <v>45777</v>
      </c>
      <c r="C4" s="19" t="s">
        <v>24</v>
      </c>
      <c r="D4" s="19" t="s">
        <v>25</v>
      </c>
      <c r="E4" s="19" t="s">
        <v>22</v>
      </c>
      <c r="F4" s="19" t="s">
        <v>18</v>
      </c>
      <c r="G4" s="19">
        <v>36</v>
      </c>
      <c r="H4" s="21">
        <v>60.98</v>
      </c>
      <c r="I4" s="22">
        <v>0</v>
      </c>
      <c r="J4" s="19" t="s">
        <v>23</v>
      </c>
      <c r="K4" s="9">
        <f t="shared" si="0"/>
        <v>2195.28</v>
      </c>
      <c r="L4" s="9">
        <f t="shared" si="1"/>
        <v>0</v>
      </c>
      <c r="M4" s="10" t="str">
        <f t="shared" si="2"/>
        <v>Large</v>
      </c>
      <c r="N4" s="10" t="str">
        <f t="shared" si="3"/>
        <v>No</v>
      </c>
      <c r="O4" s="9">
        <f t="shared" si="4"/>
        <v>60.98</v>
      </c>
    </row>
    <row r="5" spans="1:15">
      <c r="A5" s="19">
        <v>1004</v>
      </c>
      <c r="B5" s="20">
        <v>45887</v>
      </c>
      <c r="C5" s="19" t="s">
        <v>26</v>
      </c>
      <c r="D5" s="19" t="s">
        <v>27</v>
      </c>
      <c r="E5" s="19" t="s">
        <v>28</v>
      </c>
      <c r="F5" s="19" t="s">
        <v>29</v>
      </c>
      <c r="G5" s="19">
        <v>1</v>
      </c>
      <c r="H5" s="21">
        <v>33.76</v>
      </c>
      <c r="I5" s="22">
        <v>0</v>
      </c>
      <c r="J5" s="19" t="s">
        <v>30</v>
      </c>
      <c r="K5" s="9">
        <f t="shared" si="0"/>
        <v>33.76</v>
      </c>
      <c r="L5" s="9">
        <f t="shared" si="1"/>
        <v>0</v>
      </c>
      <c r="M5" s="10" t="str">
        <f t="shared" si="2"/>
        <v>Small</v>
      </c>
      <c r="N5" s="10" t="str">
        <f t="shared" si="3"/>
        <v>No</v>
      </c>
      <c r="O5" s="9">
        <f t="shared" si="4"/>
        <v>33.76</v>
      </c>
    </row>
    <row r="6" spans="1:15">
      <c r="A6" s="19">
        <v>1005</v>
      </c>
      <c r="B6" s="20">
        <v>45737</v>
      </c>
      <c r="C6" s="19" t="s">
        <v>20</v>
      </c>
      <c r="D6" s="19" t="s">
        <v>25</v>
      </c>
      <c r="E6" s="19" t="s">
        <v>31</v>
      </c>
      <c r="F6" s="19" t="s">
        <v>29</v>
      </c>
      <c r="G6" s="19">
        <v>22</v>
      </c>
      <c r="H6" s="21">
        <v>450.72</v>
      </c>
      <c r="I6" s="22">
        <v>0</v>
      </c>
      <c r="J6" s="19" t="s">
        <v>23</v>
      </c>
      <c r="K6" s="9">
        <f t="shared" si="0"/>
        <v>9915.84</v>
      </c>
      <c r="L6" s="9">
        <f t="shared" si="1"/>
        <v>0</v>
      </c>
      <c r="M6" s="10" t="str">
        <f t="shared" si="2"/>
        <v>Medium</v>
      </c>
      <c r="N6" s="10" t="str">
        <f t="shared" si="3"/>
        <v>No</v>
      </c>
      <c r="O6" s="9">
        <f t="shared" si="4"/>
        <v>450.72</v>
      </c>
    </row>
    <row r="7" spans="1:15">
      <c r="A7" s="19">
        <v>1006</v>
      </c>
      <c r="B7" s="20">
        <v>45841</v>
      </c>
      <c r="C7" s="19" t="s">
        <v>26</v>
      </c>
      <c r="D7" s="19" t="s">
        <v>21</v>
      </c>
      <c r="E7" s="19" t="s">
        <v>32</v>
      </c>
      <c r="F7" s="19" t="s">
        <v>33</v>
      </c>
      <c r="G7" s="19">
        <v>3</v>
      </c>
      <c r="H7" s="21">
        <v>8.13</v>
      </c>
      <c r="I7" s="22">
        <v>0.15</v>
      </c>
      <c r="J7" s="19" t="s">
        <v>30</v>
      </c>
      <c r="K7" s="9">
        <f t="shared" si="0"/>
        <v>20.7315</v>
      </c>
      <c r="L7" s="9">
        <f t="shared" si="1"/>
        <v>3.6585</v>
      </c>
      <c r="M7" s="10" t="str">
        <f t="shared" si="2"/>
        <v>Small</v>
      </c>
      <c r="N7" s="10" t="str">
        <f t="shared" si="3"/>
        <v>No</v>
      </c>
      <c r="O7" s="9">
        <f t="shared" si="4"/>
        <v>6.9105</v>
      </c>
    </row>
    <row r="8" spans="1:15">
      <c r="A8" s="19">
        <v>1007</v>
      </c>
      <c r="B8" s="20">
        <v>45698</v>
      </c>
      <c r="C8" s="19" t="s">
        <v>24</v>
      </c>
      <c r="D8" s="19" t="s">
        <v>34</v>
      </c>
      <c r="E8" s="19" t="s">
        <v>22</v>
      </c>
      <c r="F8" s="19" t="s">
        <v>18</v>
      </c>
      <c r="G8" s="19">
        <v>40</v>
      </c>
      <c r="H8" s="21">
        <v>58.01</v>
      </c>
      <c r="I8" s="22">
        <v>0</v>
      </c>
      <c r="J8" s="19" t="s">
        <v>19</v>
      </c>
      <c r="K8" s="9">
        <f t="shared" si="0"/>
        <v>2320.4</v>
      </c>
      <c r="L8" s="9">
        <f t="shared" si="1"/>
        <v>0</v>
      </c>
      <c r="M8" s="10" t="str">
        <f t="shared" si="2"/>
        <v>Large</v>
      </c>
      <c r="N8" s="10" t="str">
        <f t="shared" si="3"/>
        <v>No</v>
      </c>
      <c r="O8" s="9">
        <f t="shared" si="4"/>
        <v>58.01</v>
      </c>
    </row>
    <row r="9" spans="1:15">
      <c r="A9" s="19">
        <v>1008</v>
      </c>
      <c r="B9" s="20">
        <v>45693</v>
      </c>
      <c r="C9" s="19" t="s">
        <v>15</v>
      </c>
      <c r="D9" s="19" t="s">
        <v>21</v>
      </c>
      <c r="E9" s="19" t="s">
        <v>35</v>
      </c>
      <c r="F9" s="19" t="s">
        <v>18</v>
      </c>
      <c r="G9" s="19">
        <v>19</v>
      </c>
      <c r="H9" s="21">
        <v>871.93</v>
      </c>
      <c r="I9" s="22">
        <v>0</v>
      </c>
      <c r="J9" s="19" t="s">
        <v>30</v>
      </c>
      <c r="K9" s="9">
        <f t="shared" si="0"/>
        <v>16566.67</v>
      </c>
      <c r="L9" s="9">
        <f t="shared" si="1"/>
        <v>0</v>
      </c>
      <c r="M9" s="10" t="str">
        <f t="shared" si="2"/>
        <v>Medium</v>
      </c>
      <c r="N9" s="10" t="str">
        <f t="shared" si="3"/>
        <v>Yes</v>
      </c>
      <c r="O9" s="9">
        <f t="shared" si="4"/>
        <v>871.93</v>
      </c>
    </row>
    <row r="10" spans="1:15">
      <c r="A10" s="19">
        <v>1009</v>
      </c>
      <c r="B10" s="20">
        <v>45800</v>
      </c>
      <c r="C10" s="19" t="s">
        <v>36</v>
      </c>
      <c r="D10" s="19" t="s">
        <v>27</v>
      </c>
      <c r="E10" s="19" t="s">
        <v>37</v>
      </c>
      <c r="F10" s="19" t="s">
        <v>29</v>
      </c>
      <c r="G10" s="19">
        <v>24</v>
      </c>
      <c r="H10" s="21">
        <v>153.26</v>
      </c>
      <c r="I10" s="22">
        <v>0</v>
      </c>
      <c r="J10" s="19" t="s">
        <v>23</v>
      </c>
      <c r="K10" s="9">
        <f t="shared" si="0"/>
        <v>3678.24</v>
      </c>
      <c r="L10" s="9">
        <f t="shared" si="1"/>
        <v>0</v>
      </c>
      <c r="M10" s="10" t="str">
        <f t="shared" si="2"/>
        <v>Medium</v>
      </c>
      <c r="N10" s="10" t="str">
        <f t="shared" si="3"/>
        <v>No</v>
      </c>
      <c r="O10" s="9">
        <f t="shared" si="4"/>
        <v>153.26</v>
      </c>
    </row>
    <row r="11" spans="1:15">
      <c r="A11" s="19">
        <v>1010</v>
      </c>
      <c r="B11" s="20">
        <v>46001</v>
      </c>
      <c r="C11" s="19" t="s">
        <v>15</v>
      </c>
      <c r="D11" s="19" t="s">
        <v>34</v>
      </c>
      <c r="E11" s="19" t="s">
        <v>38</v>
      </c>
      <c r="F11" s="19" t="s">
        <v>18</v>
      </c>
      <c r="G11" s="19">
        <v>5</v>
      </c>
      <c r="H11" s="21">
        <v>227.1</v>
      </c>
      <c r="I11" s="22">
        <v>0.1</v>
      </c>
      <c r="J11" s="19" t="s">
        <v>23</v>
      </c>
      <c r="K11" s="9">
        <f t="shared" si="0"/>
        <v>1021.95</v>
      </c>
      <c r="L11" s="9">
        <f t="shared" si="1"/>
        <v>113.55</v>
      </c>
      <c r="M11" s="10" t="str">
        <f t="shared" si="2"/>
        <v>Small</v>
      </c>
      <c r="N11" s="10" t="str">
        <f t="shared" si="3"/>
        <v>No</v>
      </c>
      <c r="O11" s="9">
        <f t="shared" si="4"/>
        <v>204.39</v>
      </c>
    </row>
    <row r="12" spans="1:15">
      <c r="A12" s="19">
        <v>1011</v>
      </c>
      <c r="B12" s="20">
        <v>45894</v>
      </c>
      <c r="C12" s="19" t="s">
        <v>36</v>
      </c>
      <c r="D12" s="19" t="s">
        <v>39</v>
      </c>
      <c r="E12" s="19" t="s">
        <v>40</v>
      </c>
      <c r="F12" s="19" t="s">
        <v>33</v>
      </c>
      <c r="G12" s="19">
        <v>36</v>
      </c>
      <c r="H12" s="21">
        <v>11.56</v>
      </c>
      <c r="I12" s="22">
        <v>0</v>
      </c>
      <c r="J12" s="19" t="s">
        <v>23</v>
      </c>
      <c r="K12" s="9">
        <f t="shared" si="0"/>
        <v>416.16</v>
      </c>
      <c r="L12" s="9">
        <f t="shared" si="1"/>
        <v>0</v>
      </c>
      <c r="M12" s="10" t="str">
        <f t="shared" si="2"/>
        <v>Large</v>
      </c>
      <c r="N12" s="10" t="str">
        <f t="shared" si="3"/>
        <v>No</v>
      </c>
      <c r="O12" s="9">
        <f t="shared" si="4"/>
        <v>11.56</v>
      </c>
    </row>
    <row r="13" spans="1:15">
      <c r="A13" s="19">
        <v>1012</v>
      </c>
      <c r="B13" s="20">
        <v>45674</v>
      </c>
      <c r="C13" s="19" t="s">
        <v>24</v>
      </c>
      <c r="D13" s="19" t="s">
        <v>27</v>
      </c>
      <c r="E13" s="19" t="s">
        <v>32</v>
      </c>
      <c r="F13" s="19" t="s">
        <v>33</v>
      </c>
      <c r="G13" s="19">
        <v>5</v>
      </c>
      <c r="H13" s="21">
        <v>7.87</v>
      </c>
      <c r="I13" s="22">
        <v>0</v>
      </c>
      <c r="J13" s="19" t="s">
        <v>23</v>
      </c>
      <c r="K13" s="9">
        <f t="shared" si="0"/>
        <v>39.35</v>
      </c>
      <c r="L13" s="9">
        <f t="shared" si="1"/>
        <v>0</v>
      </c>
      <c r="M13" s="10" t="str">
        <f t="shared" si="2"/>
        <v>Small</v>
      </c>
      <c r="N13" s="10" t="str">
        <f t="shared" si="3"/>
        <v>No</v>
      </c>
      <c r="O13" s="9">
        <f t="shared" si="4"/>
        <v>7.87</v>
      </c>
    </row>
    <row r="14" spans="1:15">
      <c r="A14" s="19">
        <v>1013</v>
      </c>
      <c r="B14" s="20">
        <v>45993</v>
      </c>
      <c r="C14" s="19" t="s">
        <v>36</v>
      </c>
      <c r="D14" s="19" t="s">
        <v>16</v>
      </c>
      <c r="E14" s="19" t="s">
        <v>37</v>
      </c>
      <c r="F14" s="19" t="s">
        <v>29</v>
      </c>
      <c r="G14" s="19">
        <v>30</v>
      </c>
      <c r="H14" s="21">
        <v>147.5</v>
      </c>
      <c r="I14" s="22">
        <v>0</v>
      </c>
      <c r="J14" s="19" t="s">
        <v>23</v>
      </c>
      <c r="K14" s="9">
        <f t="shared" si="0"/>
        <v>4425</v>
      </c>
      <c r="L14" s="9">
        <f t="shared" si="1"/>
        <v>0</v>
      </c>
      <c r="M14" s="10" t="str">
        <f t="shared" si="2"/>
        <v>Large</v>
      </c>
      <c r="N14" s="10" t="str">
        <f t="shared" si="3"/>
        <v>No</v>
      </c>
      <c r="O14" s="9">
        <f t="shared" si="4"/>
        <v>147.5</v>
      </c>
    </row>
    <row r="15" spans="1:15">
      <c r="A15" s="19">
        <v>1014</v>
      </c>
      <c r="B15" s="20">
        <v>45945</v>
      </c>
      <c r="C15" s="19" t="s">
        <v>24</v>
      </c>
      <c r="D15" s="19" t="s">
        <v>25</v>
      </c>
      <c r="E15" s="19" t="s">
        <v>22</v>
      </c>
      <c r="F15" s="19" t="s">
        <v>18</v>
      </c>
      <c r="G15" s="19">
        <v>38</v>
      </c>
      <c r="H15" s="21">
        <v>57.72</v>
      </c>
      <c r="I15" s="22">
        <v>0.05</v>
      </c>
      <c r="J15" s="19" t="s">
        <v>30</v>
      </c>
      <c r="K15" s="9">
        <f t="shared" si="0"/>
        <v>2083.692</v>
      </c>
      <c r="L15" s="9">
        <f t="shared" si="1"/>
        <v>109.668</v>
      </c>
      <c r="M15" s="10" t="str">
        <f t="shared" si="2"/>
        <v>Large</v>
      </c>
      <c r="N15" s="10" t="str">
        <f t="shared" si="3"/>
        <v>Yes</v>
      </c>
      <c r="O15" s="9">
        <f t="shared" si="4"/>
        <v>54.834</v>
      </c>
    </row>
    <row r="16" spans="1:15">
      <c r="A16" s="19">
        <v>1015</v>
      </c>
      <c r="B16" s="20">
        <v>45770</v>
      </c>
      <c r="C16" s="19" t="s">
        <v>20</v>
      </c>
      <c r="D16" s="19" t="s">
        <v>16</v>
      </c>
      <c r="E16" s="19" t="s">
        <v>41</v>
      </c>
      <c r="F16" s="19" t="s">
        <v>29</v>
      </c>
      <c r="G16" s="19">
        <v>6</v>
      </c>
      <c r="H16" s="21">
        <v>180.27</v>
      </c>
      <c r="I16" s="22">
        <v>0</v>
      </c>
      <c r="J16" s="19" t="s">
        <v>19</v>
      </c>
      <c r="K16" s="9">
        <f t="shared" si="0"/>
        <v>1081.62</v>
      </c>
      <c r="L16" s="9">
        <f t="shared" si="1"/>
        <v>0</v>
      </c>
      <c r="M16" s="10" t="str">
        <f t="shared" si="2"/>
        <v>Small</v>
      </c>
      <c r="N16" s="10" t="str">
        <f t="shared" si="3"/>
        <v>No</v>
      </c>
      <c r="O16" s="9">
        <f t="shared" si="4"/>
        <v>180.27</v>
      </c>
    </row>
    <row r="17" spans="1:15">
      <c r="A17" s="19">
        <v>1016</v>
      </c>
      <c r="B17" s="20">
        <v>45739</v>
      </c>
      <c r="C17" s="19" t="s">
        <v>24</v>
      </c>
      <c r="D17" s="19" t="s">
        <v>42</v>
      </c>
      <c r="E17" s="19" t="s">
        <v>40</v>
      </c>
      <c r="F17" s="19" t="s">
        <v>33</v>
      </c>
      <c r="G17" s="19">
        <v>25</v>
      </c>
      <c r="H17" s="21">
        <v>12.19</v>
      </c>
      <c r="I17" s="22">
        <v>0.05</v>
      </c>
      <c r="J17" s="19" t="s">
        <v>19</v>
      </c>
      <c r="K17" s="9">
        <f t="shared" si="0"/>
        <v>289.5125</v>
      </c>
      <c r="L17" s="9">
        <f t="shared" si="1"/>
        <v>15.2375</v>
      </c>
      <c r="M17" s="10" t="str">
        <f t="shared" si="2"/>
        <v>Medium</v>
      </c>
      <c r="N17" s="10" t="str">
        <f t="shared" si="3"/>
        <v>No</v>
      </c>
      <c r="O17" s="9">
        <f t="shared" si="4"/>
        <v>11.5805</v>
      </c>
    </row>
    <row r="18" spans="1:15">
      <c r="A18" s="19">
        <v>1017</v>
      </c>
      <c r="B18" s="20">
        <v>45786</v>
      </c>
      <c r="C18" s="19" t="s">
        <v>20</v>
      </c>
      <c r="D18" s="19" t="s">
        <v>43</v>
      </c>
      <c r="E18" s="19" t="s">
        <v>22</v>
      </c>
      <c r="F18" s="19" t="s">
        <v>18</v>
      </c>
      <c r="G18" s="19">
        <v>1</v>
      </c>
      <c r="H18" s="21">
        <v>63.46</v>
      </c>
      <c r="I18" s="22">
        <v>0.15</v>
      </c>
      <c r="J18" s="19" t="s">
        <v>19</v>
      </c>
      <c r="K18" s="9">
        <f t="shared" si="0"/>
        <v>53.941</v>
      </c>
      <c r="L18" s="9">
        <f t="shared" si="1"/>
        <v>9.519</v>
      </c>
      <c r="M18" s="10" t="str">
        <f t="shared" si="2"/>
        <v>Small</v>
      </c>
      <c r="N18" s="10" t="str">
        <f t="shared" si="3"/>
        <v>No</v>
      </c>
      <c r="O18" s="9">
        <f t="shared" si="4"/>
        <v>53.941</v>
      </c>
    </row>
    <row r="19" spans="1:15">
      <c r="A19" s="19">
        <v>1018</v>
      </c>
      <c r="B19" s="20">
        <v>45832</v>
      </c>
      <c r="C19" s="19" t="s">
        <v>20</v>
      </c>
      <c r="D19" s="19" t="s">
        <v>43</v>
      </c>
      <c r="E19" s="19" t="s">
        <v>17</v>
      </c>
      <c r="F19" s="19" t="s">
        <v>18</v>
      </c>
      <c r="G19" s="19">
        <v>11</v>
      </c>
      <c r="H19" s="21">
        <v>24.17</v>
      </c>
      <c r="I19" s="22">
        <v>0.05</v>
      </c>
      <c r="J19" s="19" t="s">
        <v>19</v>
      </c>
      <c r="K19" s="9">
        <f t="shared" si="0"/>
        <v>252.5765</v>
      </c>
      <c r="L19" s="9">
        <f t="shared" si="1"/>
        <v>13.2935</v>
      </c>
      <c r="M19" s="10" t="str">
        <f t="shared" si="2"/>
        <v>Medium</v>
      </c>
      <c r="N19" s="10" t="str">
        <f t="shared" si="3"/>
        <v>No</v>
      </c>
      <c r="O19" s="9">
        <f t="shared" si="4"/>
        <v>22.9615</v>
      </c>
    </row>
    <row r="20" spans="1:15">
      <c r="A20" s="19">
        <v>1019</v>
      </c>
      <c r="B20" s="20">
        <v>45749</v>
      </c>
      <c r="C20" s="19" t="s">
        <v>24</v>
      </c>
      <c r="D20" s="19" t="s">
        <v>34</v>
      </c>
      <c r="E20" s="19" t="s">
        <v>22</v>
      </c>
      <c r="F20" s="19" t="s">
        <v>18</v>
      </c>
      <c r="G20" s="19">
        <v>20</v>
      </c>
      <c r="H20" s="21">
        <v>63.96</v>
      </c>
      <c r="I20" s="22">
        <v>0.15</v>
      </c>
      <c r="J20" s="19" t="s">
        <v>23</v>
      </c>
      <c r="K20" s="9">
        <f t="shared" si="0"/>
        <v>1087.32</v>
      </c>
      <c r="L20" s="9">
        <f t="shared" si="1"/>
        <v>191.88</v>
      </c>
      <c r="M20" s="10" t="str">
        <f t="shared" si="2"/>
        <v>Medium</v>
      </c>
      <c r="N20" s="10" t="str">
        <f t="shared" si="3"/>
        <v>No</v>
      </c>
      <c r="O20" s="9">
        <f t="shared" si="4"/>
        <v>54.366</v>
      </c>
    </row>
    <row r="21" spans="1:15">
      <c r="A21" s="19">
        <v>1020</v>
      </c>
      <c r="B21" s="20">
        <v>45849</v>
      </c>
      <c r="C21" s="19" t="s">
        <v>24</v>
      </c>
      <c r="D21" s="19" t="s">
        <v>27</v>
      </c>
      <c r="E21" s="19" t="s">
        <v>41</v>
      </c>
      <c r="F21" s="19" t="s">
        <v>29</v>
      </c>
      <c r="G21" s="19">
        <v>34</v>
      </c>
      <c r="H21" s="21">
        <v>181.13</v>
      </c>
      <c r="I21" s="22">
        <v>0</v>
      </c>
      <c r="J21" s="19" t="s">
        <v>30</v>
      </c>
      <c r="K21" s="9">
        <f t="shared" si="0"/>
        <v>6158.42</v>
      </c>
      <c r="L21" s="9">
        <f t="shared" si="1"/>
        <v>0</v>
      </c>
      <c r="M21" s="10" t="str">
        <f t="shared" si="2"/>
        <v>Large</v>
      </c>
      <c r="N21" s="10" t="str">
        <f t="shared" si="3"/>
        <v>Yes</v>
      </c>
      <c r="O21" s="9">
        <f t="shared" si="4"/>
        <v>181.13</v>
      </c>
    </row>
    <row r="22" spans="1:15">
      <c r="A22" s="19">
        <v>1021</v>
      </c>
      <c r="B22" s="20">
        <v>45667</v>
      </c>
      <c r="C22" s="19" t="s">
        <v>20</v>
      </c>
      <c r="D22" s="19" t="s">
        <v>34</v>
      </c>
      <c r="E22" s="19" t="s">
        <v>17</v>
      </c>
      <c r="F22" s="19" t="s">
        <v>18</v>
      </c>
      <c r="G22" s="19">
        <v>20</v>
      </c>
      <c r="H22" s="21">
        <v>26.72</v>
      </c>
      <c r="I22" s="22">
        <v>0</v>
      </c>
      <c r="J22" s="19" t="s">
        <v>19</v>
      </c>
      <c r="K22" s="9">
        <f t="shared" si="0"/>
        <v>534.4</v>
      </c>
      <c r="L22" s="9">
        <f t="shared" si="1"/>
        <v>0</v>
      </c>
      <c r="M22" s="10" t="str">
        <f t="shared" si="2"/>
        <v>Medium</v>
      </c>
      <c r="N22" s="10" t="str">
        <f t="shared" si="3"/>
        <v>No</v>
      </c>
      <c r="O22" s="9">
        <f t="shared" si="4"/>
        <v>26.72</v>
      </c>
    </row>
    <row r="23" spans="1:15">
      <c r="A23" s="19">
        <v>1022</v>
      </c>
      <c r="B23" s="20">
        <v>45698</v>
      </c>
      <c r="C23" s="19" t="s">
        <v>15</v>
      </c>
      <c r="D23" s="19" t="s">
        <v>16</v>
      </c>
      <c r="E23" s="19" t="s">
        <v>17</v>
      </c>
      <c r="F23" s="19" t="s">
        <v>18</v>
      </c>
      <c r="G23" s="19">
        <v>5</v>
      </c>
      <c r="H23" s="21">
        <v>25.93</v>
      </c>
      <c r="I23" s="22">
        <v>0.1</v>
      </c>
      <c r="J23" s="19" t="s">
        <v>19</v>
      </c>
      <c r="K23" s="9">
        <f t="shared" si="0"/>
        <v>116.685</v>
      </c>
      <c r="L23" s="9">
        <f t="shared" si="1"/>
        <v>12.965</v>
      </c>
      <c r="M23" s="10" t="str">
        <f t="shared" si="2"/>
        <v>Small</v>
      </c>
      <c r="N23" s="10" t="str">
        <f t="shared" si="3"/>
        <v>No</v>
      </c>
      <c r="O23" s="9">
        <f t="shared" si="4"/>
        <v>23.337</v>
      </c>
    </row>
    <row r="24" spans="1:15">
      <c r="A24" s="19">
        <v>1023</v>
      </c>
      <c r="B24" s="20">
        <v>45901</v>
      </c>
      <c r="C24" s="19" t="s">
        <v>26</v>
      </c>
      <c r="D24" s="19" t="s">
        <v>34</v>
      </c>
      <c r="E24" s="19" t="s">
        <v>22</v>
      </c>
      <c r="F24" s="19" t="s">
        <v>18</v>
      </c>
      <c r="G24" s="19">
        <v>34</v>
      </c>
      <c r="H24" s="21">
        <v>56.79</v>
      </c>
      <c r="I24" s="22">
        <v>0.1</v>
      </c>
      <c r="J24" s="19" t="s">
        <v>19</v>
      </c>
      <c r="K24" s="9">
        <f t="shared" si="0"/>
        <v>1737.774</v>
      </c>
      <c r="L24" s="9">
        <f t="shared" si="1"/>
        <v>193.086</v>
      </c>
      <c r="M24" s="10" t="str">
        <f t="shared" si="2"/>
        <v>Large</v>
      </c>
      <c r="N24" s="10" t="str">
        <f t="shared" si="3"/>
        <v>No</v>
      </c>
      <c r="O24" s="9">
        <f t="shared" si="4"/>
        <v>51.111</v>
      </c>
    </row>
    <row r="25" spans="1:15">
      <c r="A25" s="19">
        <v>1024</v>
      </c>
      <c r="B25" s="20">
        <v>46011</v>
      </c>
      <c r="C25" s="19" t="s">
        <v>36</v>
      </c>
      <c r="D25" s="19" t="s">
        <v>42</v>
      </c>
      <c r="E25" s="19" t="s">
        <v>31</v>
      </c>
      <c r="F25" s="19" t="s">
        <v>29</v>
      </c>
      <c r="G25" s="19">
        <v>26</v>
      </c>
      <c r="H25" s="21">
        <v>434.31</v>
      </c>
      <c r="I25" s="22">
        <v>0.15</v>
      </c>
      <c r="J25" s="19" t="s">
        <v>19</v>
      </c>
      <c r="K25" s="9">
        <f t="shared" si="0"/>
        <v>9598.251</v>
      </c>
      <c r="L25" s="9">
        <f t="shared" si="1"/>
        <v>1693.809</v>
      </c>
      <c r="M25" s="10" t="str">
        <f t="shared" si="2"/>
        <v>Large</v>
      </c>
      <c r="N25" s="10" t="str">
        <f t="shared" si="3"/>
        <v>No</v>
      </c>
      <c r="O25" s="9">
        <f t="shared" si="4"/>
        <v>369.1635</v>
      </c>
    </row>
    <row r="26" spans="1:15">
      <c r="A26" s="19">
        <v>1025</v>
      </c>
      <c r="B26" s="20">
        <v>45889</v>
      </c>
      <c r="C26" s="19" t="s">
        <v>20</v>
      </c>
      <c r="D26" s="19" t="s">
        <v>34</v>
      </c>
      <c r="E26" s="19" t="s">
        <v>17</v>
      </c>
      <c r="F26" s="19" t="s">
        <v>18</v>
      </c>
      <c r="G26" s="19">
        <v>5</v>
      </c>
      <c r="H26" s="21">
        <v>23.99</v>
      </c>
      <c r="I26" s="22">
        <v>0</v>
      </c>
      <c r="J26" s="19" t="s">
        <v>19</v>
      </c>
      <c r="K26" s="9">
        <f t="shared" si="0"/>
        <v>119.95</v>
      </c>
      <c r="L26" s="9">
        <f t="shared" si="1"/>
        <v>0</v>
      </c>
      <c r="M26" s="10" t="str">
        <f t="shared" si="2"/>
        <v>Small</v>
      </c>
      <c r="N26" s="10" t="str">
        <f t="shared" si="3"/>
        <v>No</v>
      </c>
      <c r="O26" s="9">
        <f t="shared" si="4"/>
        <v>23.99</v>
      </c>
    </row>
    <row r="27" spans="1:15">
      <c r="A27" s="19">
        <v>1026</v>
      </c>
      <c r="B27" s="20">
        <v>45770</v>
      </c>
      <c r="C27" s="19" t="s">
        <v>20</v>
      </c>
      <c r="D27" s="19" t="s">
        <v>39</v>
      </c>
      <c r="E27" s="19" t="s">
        <v>35</v>
      </c>
      <c r="F27" s="19" t="s">
        <v>18</v>
      </c>
      <c r="G27" s="19">
        <v>4</v>
      </c>
      <c r="H27" s="21">
        <v>791.66</v>
      </c>
      <c r="I27" s="22">
        <v>0</v>
      </c>
      <c r="J27" s="19" t="s">
        <v>30</v>
      </c>
      <c r="K27" s="9">
        <f t="shared" si="0"/>
        <v>3166.64</v>
      </c>
      <c r="L27" s="9">
        <f t="shared" si="1"/>
        <v>0</v>
      </c>
      <c r="M27" s="10" t="str">
        <f t="shared" si="2"/>
        <v>Small</v>
      </c>
      <c r="N27" s="10" t="str">
        <f t="shared" si="3"/>
        <v>Yes</v>
      </c>
      <c r="O27" s="9">
        <f t="shared" si="4"/>
        <v>791.66</v>
      </c>
    </row>
    <row r="28" spans="1:15">
      <c r="A28" s="19">
        <v>1027</v>
      </c>
      <c r="B28" s="20">
        <v>45694</v>
      </c>
      <c r="C28" s="19" t="s">
        <v>24</v>
      </c>
      <c r="D28" s="19" t="s">
        <v>16</v>
      </c>
      <c r="E28" s="19" t="s">
        <v>22</v>
      </c>
      <c r="F28" s="19" t="s">
        <v>18</v>
      </c>
      <c r="G28" s="19">
        <v>32</v>
      </c>
      <c r="H28" s="21">
        <v>57.48</v>
      </c>
      <c r="I28" s="22">
        <v>0</v>
      </c>
      <c r="J28" s="19" t="s">
        <v>19</v>
      </c>
      <c r="K28" s="9">
        <f t="shared" si="0"/>
        <v>1839.36</v>
      </c>
      <c r="L28" s="9">
        <f t="shared" si="1"/>
        <v>0</v>
      </c>
      <c r="M28" s="10" t="str">
        <f t="shared" si="2"/>
        <v>Large</v>
      </c>
      <c r="N28" s="10" t="str">
        <f t="shared" si="3"/>
        <v>No</v>
      </c>
      <c r="O28" s="9">
        <f t="shared" si="4"/>
        <v>57.48</v>
      </c>
    </row>
    <row r="29" spans="1:15">
      <c r="A29" s="19">
        <v>1028</v>
      </c>
      <c r="B29" s="20">
        <v>45950</v>
      </c>
      <c r="C29" s="19" t="s">
        <v>15</v>
      </c>
      <c r="D29" s="19" t="s">
        <v>21</v>
      </c>
      <c r="E29" s="19" t="s">
        <v>28</v>
      </c>
      <c r="F29" s="19" t="s">
        <v>29</v>
      </c>
      <c r="G29" s="19">
        <v>31</v>
      </c>
      <c r="H29" s="21">
        <v>34.85</v>
      </c>
      <c r="I29" s="22">
        <v>0.05</v>
      </c>
      <c r="J29" s="19" t="s">
        <v>23</v>
      </c>
      <c r="K29" s="9">
        <f t="shared" si="0"/>
        <v>1026.3325</v>
      </c>
      <c r="L29" s="9">
        <f t="shared" si="1"/>
        <v>54.0175</v>
      </c>
      <c r="M29" s="10" t="str">
        <f t="shared" si="2"/>
        <v>Large</v>
      </c>
      <c r="N29" s="10" t="str">
        <f t="shared" si="3"/>
        <v>No</v>
      </c>
      <c r="O29" s="9">
        <f t="shared" si="4"/>
        <v>33.1075</v>
      </c>
    </row>
    <row r="30" spans="1:15">
      <c r="A30" s="19">
        <v>1029</v>
      </c>
      <c r="B30" s="20">
        <v>45995</v>
      </c>
      <c r="C30" s="19" t="s">
        <v>20</v>
      </c>
      <c r="D30" s="19" t="s">
        <v>21</v>
      </c>
      <c r="E30" s="19" t="s">
        <v>40</v>
      </c>
      <c r="F30" s="19" t="s">
        <v>33</v>
      </c>
      <c r="G30" s="19">
        <v>27</v>
      </c>
      <c r="H30" s="21">
        <v>11.72</v>
      </c>
      <c r="I30" s="22">
        <v>0.05</v>
      </c>
      <c r="J30" s="19" t="s">
        <v>23</v>
      </c>
      <c r="K30" s="9">
        <f t="shared" si="0"/>
        <v>300.618</v>
      </c>
      <c r="L30" s="9">
        <f t="shared" si="1"/>
        <v>15.822</v>
      </c>
      <c r="M30" s="10" t="str">
        <f t="shared" si="2"/>
        <v>Large</v>
      </c>
      <c r="N30" s="10" t="str">
        <f t="shared" si="3"/>
        <v>No</v>
      </c>
      <c r="O30" s="9">
        <f t="shared" si="4"/>
        <v>11.134</v>
      </c>
    </row>
    <row r="31" spans="1:15">
      <c r="A31" s="19">
        <v>1030</v>
      </c>
      <c r="B31" s="20">
        <v>45864</v>
      </c>
      <c r="C31" s="19" t="s">
        <v>15</v>
      </c>
      <c r="D31" s="19" t="s">
        <v>34</v>
      </c>
      <c r="E31" s="19" t="s">
        <v>32</v>
      </c>
      <c r="F31" s="19" t="s">
        <v>33</v>
      </c>
      <c r="G31" s="19">
        <v>7</v>
      </c>
      <c r="H31" s="21">
        <v>8.38</v>
      </c>
      <c r="I31" s="22">
        <v>0</v>
      </c>
      <c r="J31" s="19" t="s">
        <v>19</v>
      </c>
      <c r="K31" s="9">
        <f t="shared" si="0"/>
        <v>58.66</v>
      </c>
      <c r="L31" s="9">
        <f t="shared" si="1"/>
        <v>0</v>
      </c>
      <c r="M31" s="10" t="str">
        <f t="shared" si="2"/>
        <v>Small</v>
      </c>
      <c r="N31" s="10" t="str">
        <f t="shared" si="3"/>
        <v>No</v>
      </c>
      <c r="O31" s="9">
        <f t="shared" si="4"/>
        <v>8.38</v>
      </c>
    </row>
    <row r="32" spans="1:15">
      <c r="A32" s="19">
        <v>1031</v>
      </c>
      <c r="B32" s="20">
        <v>45887</v>
      </c>
      <c r="C32" s="19" t="s">
        <v>15</v>
      </c>
      <c r="D32" s="19" t="s">
        <v>21</v>
      </c>
      <c r="E32" s="19" t="s">
        <v>41</v>
      </c>
      <c r="F32" s="19" t="s">
        <v>29</v>
      </c>
      <c r="G32" s="19">
        <v>18</v>
      </c>
      <c r="H32" s="21">
        <v>177.75</v>
      </c>
      <c r="I32" s="22">
        <v>0.05</v>
      </c>
      <c r="J32" s="19" t="s">
        <v>30</v>
      </c>
      <c r="K32" s="9">
        <f t="shared" si="0"/>
        <v>3039.525</v>
      </c>
      <c r="L32" s="9">
        <f t="shared" si="1"/>
        <v>159.975</v>
      </c>
      <c r="M32" s="10" t="str">
        <f t="shared" si="2"/>
        <v>Medium</v>
      </c>
      <c r="N32" s="10" t="str">
        <f t="shared" si="3"/>
        <v>Yes</v>
      </c>
      <c r="O32" s="9">
        <f t="shared" si="4"/>
        <v>168.8625</v>
      </c>
    </row>
    <row r="33" spans="1:15">
      <c r="A33" s="19">
        <v>1032</v>
      </c>
      <c r="B33" s="20">
        <v>45939</v>
      </c>
      <c r="C33" s="19" t="s">
        <v>20</v>
      </c>
      <c r="D33" s="19" t="s">
        <v>34</v>
      </c>
      <c r="E33" s="19" t="s">
        <v>17</v>
      </c>
      <c r="F33" s="19" t="s">
        <v>18</v>
      </c>
      <c r="G33" s="19">
        <v>35</v>
      </c>
      <c r="H33" s="21">
        <v>23.2</v>
      </c>
      <c r="I33" s="22">
        <v>0</v>
      </c>
      <c r="J33" s="19" t="s">
        <v>23</v>
      </c>
      <c r="K33" s="9">
        <f t="shared" si="0"/>
        <v>812</v>
      </c>
      <c r="L33" s="9">
        <f t="shared" si="1"/>
        <v>0</v>
      </c>
      <c r="M33" s="10" t="str">
        <f t="shared" si="2"/>
        <v>Large</v>
      </c>
      <c r="N33" s="10" t="str">
        <f t="shared" si="3"/>
        <v>No</v>
      </c>
      <c r="O33" s="9">
        <f t="shared" si="4"/>
        <v>23.2</v>
      </c>
    </row>
    <row r="34" spans="1:15">
      <c r="A34" s="19">
        <v>1033</v>
      </c>
      <c r="B34" s="20">
        <v>45866</v>
      </c>
      <c r="C34" s="19" t="s">
        <v>15</v>
      </c>
      <c r="D34" s="19" t="s">
        <v>25</v>
      </c>
      <c r="E34" s="19" t="s">
        <v>37</v>
      </c>
      <c r="F34" s="19" t="s">
        <v>29</v>
      </c>
      <c r="G34" s="19">
        <v>26</v>
      </c>
      <c r="H34" s="21">
        <v>149.55</v>
      </c>
      <c r="I34" s="22">
        <v>0</v>
      </c>
      <c r="J34" s="19" t="s">
        <v>23</v>
      </c>
      <c r="K34" s="9">
        <f t="shared" si="0"/>
        <v>3888.3</v>
      </c>
      <c r="L34" s="9">
        <f t="shared" si="1"/>
        <v>0</v>
      </c>
      <c r="M34" s="10" t="str">
        <f t="shared" si="2"/>
        <v>Large</v>
      </c>
      <c r="N34" s="10" t="str">
        <f t="shared" si="3"/>
        <v>No</v>
      </c>
      <c r="O34" s="9">
        <f t="shared" si="4"/>
        <v>149.55</v>
      </c>
    </row>
    <row r="35" spans="1:15">
      <c r="A35" s="19">
        <v>1034</v>
      </c>
      <c r="B35" s="20">
        <v>45857</v>
      </c>
      <c r="C35" s="19" t="s">
        <v>26</v>
      </c>
      <c r="D35" s="19" t="s">
        <v>42</v>
      </c>
      <c r="E35" s="19" t="s">
        <v>38</v>
      </c>
      <c r="F35" s="19" t="s">
        <v>18</v>
      </c>
      <c r="G35" s="19">
        <v>30</v>
      </c>
      <c r="H35" s="21">
        <v>235.01</v>
      </c>
      <c r="I35" s="22">
        <v>0</v>
      </c>
      <c r="J35" s="19" t="s">
        <v>23</v>
      </c>
      <c r="K35" s="9">
        <f t="shared" si="0"/>
        <v>7050.3</v>
      </c>
      <c r="L35" s="9">
        <f t="shared" si="1"/>
        <v>0</v>
      </c>
      <c r="M35" s="10" t="str">
        <f t="shared" si="2"/>
        <v>Large</v>
      </c>
      <c r="N35" s="10" t="str">
        <f t="shared" si="3"/>
        <v>No</v>
      </c>
      <c r="O35" s="9">
        <f t="shared" si="4"/>
        <v>235.01</v>
      </c>
    </row>
    <row r="36" spans="1:15">
      <c r="A36" s="19">
        <v>1035</v>
      </c>
      <c r="B36" s="20">
        <v>45755</v>
      </c>
      <c r="C36" s="19" t="s">
        <v>24</v>
      </c>
      <c r="D36" s="19" t="s">
        <v>39</v>
      </c>
      <c r="E36" s="19" t="s">
        <v>38</v>
      </c>
      <c r="F36" s="19" t="s">
        <v>18</v>
      </c>
      <c r="G36" s="19">
        <v>4</v>
      </c>
      <c r="H36" s="21">
        <v>210.06</v>
      </c>
      <c r="I36" s="22">
        <v>0.1</v>
      </c>
      <c r="J36" s="19" t="s">
        <v>19</v>
      </c>
      <c r="K36" s="9">
        <f t="shared" si="0"/>
        <v>756.216</v>
      </c>
      <c r="L36" s="9">
        <f t="shared" si="1"/>
        <v>84.024</v>
      </c>
      <c r="M36" s="10" t="str">
        <f t="shared" si="2"/>
        <v>Small</v>
      </c>
      <c r="N36" s="10" t="str">
        <f t="shared" si="3"/>
        <v>No</v>
      </c>
      <c r="O36" s="9">
        <f t="shared" si="4"/>
        <v>189.054</v>
      </c>
    </row>
    <row r="37" spans="1:15">
      <c r="A37" s="19">
        <v>1036</v>
      </c>
      <c r="B37" s="20">
        <v>45818</v>
      </c>
      <c r="C37" s="19" t="s">
        <v>24</v>
      </c>
      <c r="D37" s="19" t="s">
        <v>16</v>
      </c>
      <c r="E37" s="19" t="s">
        <v>35</v>
      </c>
      <c r="F37" s="19" t="s">
        <v>18</v>
      </c>
      <c r="G37" s="19">
        <v>31</v>
      </c>
      <c r="H37" s="21">
        <v>788.82</v>
      </c>
      <c r="I37" s="22">
        <v>0.1</v>
      </c>
      <c r="J37" s="19" t="s">
        <v>23</v>
      </c>
      <c r="K37" s="9">
        <f t="shared" si="0"/>
        <v>22008.078</v>
      </c>
      <c r="L37" s="9">
        <f t="shared" si="1"/>
        <v>2445.342</v>
      </c>
      <c r="M37" s="10" t="str">
        <f t="shared" si="2"/>
        <v>Large</v>
      </c>
      <c r="N37" s="10" t="str">
        <f t="shared" si="3"/>
        <v>No</v>
      </c>
      <c r="O37" s="9">
        <f t="shared" si="4"/>
        <v>709.938</v>
      </c>
    </row>
    <row r="38" spans="1:15">
      <c r="A38" s="19">
        <v>1037</v>
      </c>
      <c r="B38" s="20">
        <v>45918</v>
      </c>
      <c r="C38" s="19" t="s">
        <v>20</v>
      </c>
      <c r="D38" s="19" t="s">
        <v>34</v>
      </c>
      <c r="E38" s="19" t="s">
        <v>17</v>
      </c>
      <c r="F38" s="19" t="s">
        <v>18</v>
      </c>
      <c r="G38" s="19">
        <v>5</v>
      </c>
      <c r="H38" s="21">
        <v>26.41</v>
      </c>
      <c r="I38" s="22">
        <v>0.1</v>
      </c>
      <c r="J38" s="19" t="s">
        <v>30</v>
      </c>
      <c r="K38" s="9">
        <f t="shared" si="0"/>
        <v>118.845</v>
      </c>
      <c r="L38" s="9">
        <f t="shared" si="1"/>
        <v>13.205</v>
      </c>
      <c r="M38" s="10" t="str">
        <f t="shared" si="2"/>
        <v>Small</v>
      </c>
      <c r="N38" s="10" t="str">
        <f t="shared" si="3"/>
        <v>No</v>
      </c>
      <c r="O38" s="9">
        <f t="shared" si="4"/>
        <v>23.769</v>
      </c>
    </row>
    <row r="39" spans="1:15">
      <c r="A39" s="19">
        <v>1038</v>
      </c>
      <c r="B39" s="20">
        <v>45719</v>
      </c>
      <c r="C39" s="19" t="s">
        <v>24</v>
      </c>
      <c r="D39" s="19" t="s">
        <v>21</v>
      </c>
      <c r="E39" s="19" t="s">
        <v>28</v>
      </c>
      <c r="F39" s="19" t="s">
        <v>29</v>
      </c>
      <c r="G39" s="19">
        <v>39</v>
      </c>
      <c r="H39" s="21">
        <v>33.58</v>
      </c>
      <c r="I39" s="22">
        <v>0</v>
      </c>
      <c r="J39" s="19" t="s">
        <v>30</v>
      </c>
      <c r="K39" s="9">
        <f t="shared" si="0"/>
        <v>1309.62</v>
      </c>
      <c r="L39" s="9">
        <f t="shared" si="1"/>
        <v>0</v>
      </c>
      <c r="M39" s="10" t="str">
        <f t="shared" si="2"/>
        <v>Large</v>
      </c>
      <c r="N39" s="10" t="str">
        <f t="shared" si="3"/>
        <v>No</v>
      </c>
      <c r="O39" s="9">
        <f t="shared" si="4"/>
        <v>33.58</v>
      </c>
    </row>
    <row r="40" spans="1:15">
      <c r="A40" s="19">
        <v>1039</v>
      </c>
      <c r="B40" s="20">
        <v>45994</v>
      </c>
      <c r="C40" s="19" t="s">
        <v>15</v>
      </c>
      <c r="D40" s="19" t="s">
        <v>27</v>
      </c>
      <c r="E40" s="19" t="s">
        <v>28</v>
      </c>
      <c r="F40" s="19" t="s">
        <v>29</v>
      </c>
      <c r="G40" s="19">
        <v>21</v>
      </c>
      <c r="H40" s="21">
        <v>35.37</v>
      </c>
      <c r="I40" s="22">
        <v>0</v>
      </c>
      <c r="J40" s="19" t="s">
        <v>23</v>
      </c>
      <c r="K40" s="9">
        <f t="shared" si="0"/>
        <v>742.77</v>
      </c>
      <c r="L40" s="9">
        <f t="shared" si="1"/>
        <v>0</v>
      </c>
      <c r="M40" s="10" t="str">
        <f t="shared" si="2"/>
        <v>Medium</v>
      </c>
      <c r="N40" s="10" t="str">
        <f t="shared" si="3"/>
        <v>No</v>
      </c>
      <c r="O40" s="9">
        <f t="shared" si="4"/>
        <v>35.37</v>
      </c>
    </row>
    <row r="41" spans="1:15">
      <c r="A41" s="19">
        <v>1040</v>
      </c>
      <c r="B41" s="20">
        <v>45793</v>
      </c>
      <c r="C41" s="19" t="s">
        <v>36</v>
      </c>
      <c r="D41" s="19" t="s">
        <v>21</v>
      </c>
      <c r="E41" s="19" t="s">
        <v>40</v>
      </c>
      <c r="F41" s="19" t="s">
        <v>33</v>
      </c>
      <c r="G41" s="19">
        <v>20</v>
      </c>
      <c r="H41" s="21">
        <v>11.29</v>
      </c>
      <c r="I41" s="22">
        <v>0.05</v>
      </c>
      <c r="J41" s="19" t="s">
        <v>23</v>
      </c>
      <c r="K41" s="9">
        <f t="shared" si="0"/>
        <v>214.51</v>
      </c>
      <c r="L41" s="9">
        <f t="shared" si="1"/>
        <v>11.29</v>
      </c>
      <c r="M41" s="10" t="str">
        <f t="shared" si="2"/>
        <v>Medium</v>
      </c>
      <c r="N41" s="10" t="str">
        <f t="shared" si="3"/>
        <v>No</v>
      </c>
      <c r="O41" s="9">
        <f t="shared" si="4"/>
        <v>10.7255</v>
      </c>
    </row>
    <row r="42" spans="1:15">
      <c r="A42" s="19">
        <v>1041</v>
      </c>
      <c r="B42" s="20">
        <v>45892</v>
      </c>
      <c r="C42" s="19" t="s">
        <v>24</v>
      </c>
      <c r="D42" s="19" t="s">
        <v>34</v>
      </c>
      <c r="E42" s="19" t="s">
        <v>28</v>
      </c>
      <c r="F42" s="19" t="s">
        <v>29</v>
      </c>
      <c r="G42" s="19">
        <v>7</v>
      </c>
      <c r="H42" s="21">
        <v>37.79</v>
      </c>
      <c r="I42" s="22">
        <v>0</v>
      </c>
      <c r="J42" s="19" t="s">
        <v>19</v>
      </c>
      <c r="K42" s="9">
        <f t="shared" si="0"/>
        <v>264.53</v>
      </c>
      <c r="L42" s="9">
        <f t="shared" si="1"/>
        <v>0</v>
      </c>
      <c r="M42" s="10" t="str">
        <f t="shared" si="2"/>
        <v>Small</v>
      </c>
      <c r="N42" s="10" t="str">
        <f t="shared" si="3"/>
        <v>No</v>
      </c>
      <c r="O42" s="9">
        <f t="shared" si="4"/>
        <v>37.79</v>
      </c>
    </row>
    <row r="43" spans="1:15">
      <c r="A43" s="19">
        <v>1042</v>
      </c>
      <c r="B43" s="20">
        <v>45793</v>
      </c>
      <c r="C43" s="19" t="s">
        <v>36</v>
      </c>
      <c r="D43" s="19" t="s">
        <v>43</v>
      </c>
      <c r="E43" s="19" t="s">
        <v>41</v>
      </c>
      <c r="F43" s="19" t="s">
        <v>29</v>
      </c>
      <c r="G43" s="19">
        <v>5</v>
      </c>
      <c r="H43" s="21">
        <v>192.48</v>
      </c>
      <c r="I43" s="22">
        <v>0</v>
      </c>
      <c r="J43" s="19" t="s">
        <v>23</v>
      </c>
      <c r="K43" s="9">
        <f t="shared" si="0"/>
        <v>962.4</v>
      </c>
      <c r="L43" s="9">
        <f t="shared" si="1"/>
        <v>0</v>
      </c>
      <c r="M43" s="10" t="str">
        <f t="shared" si="2"/>
        <v>Small</v>
      </c>
      <c r="N43" s="10" t="str">
        <f t="shared" si="3"/>
        <v>No</v>
      </c>
      <c r="O43" s="9">
        <f t="shared" si="4"/>
        <v>192.48</v>
      </c>
    </row>
    <row r="44" spans="1:15">
      <c r="A44" s="19">
        <v>1043</v>
      </c>
      <c r="B44" s="20">
        <v>45882</v>
      </c>
      <c r="C44" s="19" t="s">
        <v>24</v>
      </c>
      <c r="D44" s="19" t="s">
        <v>39</v>
      </c>
      <c r="E44" s="19" t="s">
        <v>22</v>
      </c>
      <c r="F44" s="19" t="s">
        <v>18</v>
      </c>
      <c r="G44" s="19">
        <v>40</v>
      </c>
      <c r="H44" s="21">
        <v>61.95</v>
      </c>
      <c r="I44" s="22">
        <v>0.15</v>
      </c>
      <c r="J44" s="19" t="s">
        <v>19</v>
      </c>
      <c r="K44" s="9">
        <f t="shared" si="0"/>
        <v>2106.3</v>
      </c>
      <c r="L44" s="9">
        <f t="shared" si="1"/>
        <v>371.7</v>
      </c>
      <c r="M44" s="10" t="str">
        <f t="shared" si="2"/>
        <v>Large</v>
      </c>
      <c r="N44" s="10" t="str">
        <f t="shared" si="3"/>
        <v>No</v>
      </c>
      <c r="O44" s="9">
        <f t="shared" si="4"/>
        <v>52.6575</v>
      </c>
    </row>
    <row r="45" spans="1:15">
      <c r="A45" s="19">
        <v>1044</v>
      </c>
      <c r="B45" s="20">
        <v>45941</v>
      </c>
      <c r="C45" s="19" t="s">
        <v>36</v>
      </c>
      <c r="D45" s="19" t="s">
        <v>21</v>
      </c>
      <c r="E45" s="19" t="s">
        <v>38</v>
      </c>
      <c r="F45" s="19" t="s">
        <v>18</v>
      </c>
      <c r="G45" s="19">
        <v>7</v>
      </c>
      <c r="H45" s="21">
        <v>235.2</v>
      </c>
      <c r="I45" s="22">
        <v>0</v>
      </c>
      <c r="J45" s="19" t="s">
        <v>23</v>
      </c>
      <c r="K45" s="9">
        <f t="shared" si="0"/>
        <v>1646.4</v>
      </c>
      <c r="L45" s="9">
        <f t="shared" si="1"/>
        <v>0</v>
      </c>
      <c r="M45" s="10" t="str">
        <f t="shared" si="2"/>
        <v>Small</v>
      </c>
      <c r="N45" s="10" t="str">
        <f t="shared" si="3"/>
        <v>No</v>
      </c>
      <c r="O45" s="9">
        <f t="shared" si="4"/>
        <v>235.2</v>
      </c>
    </row>
    <row r="46" spans="1:15">
      <c r="A46" s="19">
        <v>1045</v>
      </c>
      <c r="B46" s="20">
        <v>45941</v>
      </c>
      <c r="C46" s="19" t="s">
        <v>36</v>
      </c>
      <c r="D46" s="19" t="s">
        <v>34</v>
      </c>
      <c r="E46" s="19" t="s">
        <v>41</v>
      </c>
      <c r="F46" s="19" t="s">
        <v>29</v>
      </c>
      <c r="G46" s="19">
        <v>39</v>
      </c>
      <c r="H46" s="21">
        <v>173.44</v>
      </c>
      <c r="I46" s="22">
        <v>0</v>
      </c>
      <c r="J46" s="19" t="s">
        <v>19</v>
      </c>
      <c r="K46" s="9">
        <f t="shared" si="0"/>
        <v>6764.16</v>
      </c>
      <c r="L46" s="9">
        <f t="shared" si="1"/>
        <v>0</v>
      </c>
      <c r="M46" s="10" t="str">
        <f t="shared" si="2"/>
        <v>Large</v>
      </c>
      <c r="N46" s="10" t="str">
        <f t="shared" si="3"/>
        <v>No</v>
      </c>
      <c r="O46" s="9">
        <f t="shared" si="4"/>
        <v>173.44</v>
      </c>
    </row>
    <row r="47" spans="1:15">
      <c r="A47" s="19">
        <v>1046</v>
      </c>
      <c r="B47" s="20">
        <v>45982</v>
      </c>
      <c r="C47" s="19" t="s">
        <v>20</v>
      </c>
      <c r="D47" s="19" t="s">
        <v>25</v>
      </c>
      <c r="E47" s="19" t="s">
        <v>38</v>
      </c>
      <c r="F47" s="19" t="s">
        <v>18</v>
      </c>
      <c r="G47" s="19">
        <v>17</v>
      </c>
      <c r="H47" s="21">
        <v>220.19</v>
      </c>
      <c r="I47" s="22">
        <v>0</v>
      </c>
      <c r="J47" s="19" t="s">
        <v>30</v>
      </c>
      <c r="K47" s="9">
        <f t="shared" si="0"/>
        <v>3743.23</v>
      </c>
      <c r="L47" s="9">
        <f t="shared" si="1"/>
        <v>0</v>
      </c>
      <c r="M47" s="10" t="str">
        <f t="shared" si="2"/>
        <v>Medium</v>
      </c>
      <c r="N47" s="10" t="str">
        <f t="shared" si="3"/>
        <v>Yes</v>
      </c>
      <c r="O47" s="9">
        <f t="shared" si="4"/>
        <v>220.19</v>
      </c>
    </row>
    <row r="48" spans="1:15">
      <c r="A48" s="19">
        <v>1047</v>
      </c>
      <c r="B48" s="20">
        <v>45680</v>
      </c>
      <c r="C48" s="19" t="s">
        <v>36</v>
      </c>
      <c r="D48" s="19" t="s">
        <v>16</v>
      </c>
      <c r="E48" s="19" t="s">
        <v>35</v>
      </c>
      <c r="F48" s="19" t="s">
        <v>18</v>
      </c>
      <c r="G48" s="19">
        <v>9</v>
      </c>
      <c r="H48" s="21">
        <v>827.36</v>
      </c>
      <c r="I48" s="22">
        <v>0.15</v>
      </c>
      <c r="J48" s="19" t="s">
        <v>19</v>
      </c>
      <c r="K48" s="9">
        <f t="shared" si="0"/>
        <v>6329.304</v>
      </c>
      <c r="L48" s="9">
        <f t="shared" si="1"/>
        <v>1116.936</v>
      </c>
      <c r="M48" s="10" t="str">
        <f t="shared" si="2"/>
        <v>Small</v>
      </c>
      <c r="N48" s="10" t="str">
        <f t="shared" si="3"/>
        <v>No</v>
      </c>
      <c r="O48" s="9">
        <f t="shared" si="4"/>
        <v>703.256</v>
      </c>
    </row>
    <row r="49" spans="1:15">
      <c r="A49" s="19">
        <v>1048</v>
      </c>
      <c r="B49" s="20">
        <v>45884</v>
      </c>
      <c r="C49" s="19" t="s">
        <v>20</v>
      </c>
      <c r="D49" s="19" t="s">
        <v>21</v>
      </c>
      <c r="E49" s="19" t="s">
        <v>22</v>
      </c>
      <c r="F49" s="19" t="s">
        <v>18</v>
      </c>
      <c r="G49" s="19">
        <v>36</v>
      </c>
      <c r="H49" s="21">
        <v>61.97</v>
      </c>
      <c r="I49" s="22">
        <v>0</v>
      </c>
      <c r="J49" s="19" t="s">
        <v>19</v>
      </c>
      <c r="K49" s="9">
        <f t="shared" si="0"/>
        <v>2230.92</v>
      </c>
      <c r="L49" s="9">
        <f t="shared" si="1"/>
        <v>0</v>
      </c>
      <c r="M49" s="10" t="str">
        <f t="shared" si="2"/>
        <v>Large</v>
      </c>
      <c r="N49" s="10" t="str">
        <f t="shared" si="3"/>
        <v>No</v>
      </c>
      <c r="O49" s="9">
        <f t="shared" si="4"/>
        <v>61.97</v>
      </c>
    </row>
    <row r="50" spans="1:15">
      <c r="A50" s="19">
        <v>1049</v>
      </c>
      <c r="B50" s="20">
        <v>45734</v>
      </c>
      <c r="C50" s="19" t="s">
        <v>24</v>
      </c>
      <c r="D50" s="19" t="s">
        <v>16</v>
      </c>
      <c r="E50" s="19" t="s">
        <v>22</v>
      </c>
      <c r="F50" s="19" t="s">
        <v>18</v>
      </c>
      <c r="G50" s="19">
        <v>24</v>
      </c>
      <c r="H50" s="21">
        <v>55.55</v>
      </c>
      <c r="I50" s="22">
        <v>0.1</v>
      </c>
      <c r="J50" s="19" t="s">
        <v>30</v>
      </c>
      <c r="K50" s="9">
        <f t="shared" si="0"/>
        <v>1199.88</v>
      </c>
      <c r="L50" s="9">
        <f t="shared" si="1"/>
        <v>133.32</v>
      </c>
      <c r="M50" s="10" t="str">
        <f t="shared" si="2"/>
        <v>Medium</v>
      </c>
      <c r="N50" s="10" t="str">
        <f t="shared" si="3"/>
        <v>No</v>
      </c>
      <c r="O50" s="9">
        <f t="shared" si="4"/>
        <v>49.995</v>
      </c>
    </row>
    <row r="51" spans="1:15">
      <c r="A51" s="19">
        <v>1050</v>
      </c>
      <c r="B51" s="20">
        <v>45723</v>
      </c>
      <c r="C51" s="19" t="s">
        <v>15</v>
      </c>
      <c r="D51" s="19" t="s">
        <v>34</v>
      </c>
      <c r="E51" s="19" t="s">
        <v>35</v>
      </c>
      <c r="F51" s="19" t="s">
        <v>18</v>
      </c>
      <c r="G51" s="19">
        <v>3</v>
      </c>
      <c r="H51" s="21">
        <v>823.92</v>
      </c>
      <c r="I51" s="22">
        <v>0</v>
      </c>
      <c r="J51" s="19" t="s">
        <v>19</v>
      </c>
      <c r="K51" s="9">
        <f t="shared" si="0"/>
        <v>2471.76</v>
      </c>
      <c r="L51" s="9">
        <f t="shared" si="1"/>
        <v>0</v>
      </c>
      <c r="M51" s="10" t="str">
        <f t="shared" si="2"/>
        <v>Small</v>
      </c>
      <c r="N51" s="10" t="str">
        <f t="shared" si="3"/>
        <v>No</v>
      </c>
      <c r="O51" s="9">
        <f t="shared" si="4"/>
        <v>823.92</v>
      </c>
    </row>
    <row r="52" spans="1:15">
      <c r="A52" s="19">
        <v>1051</v>
      </c>
      <c r="B52" s="20">
        <v>45710</v>
      </c>
      <c r="C52" s="19" t="s">
        <v>15</v>
      </c>
      <c r="D52" s="19" t="s">
        <v>34</v>
      </c>
      <c r="E52" s="19" t="s">
        <v>32</v>
      </c>
      <c r="F52" s="19" t="s">
        <v>33</v>
      </c>
      <c r="G52" s="19">
        <v>27</v>
      </c>
      <c r="H52" s="21">
        <v>8.36</v>
      </c>
      <c r="I52" s="22">
        <v>0.1</v>
      </c>
      <c r="J52" s="19" t="s">
        <v>23</v>
      </c>
      <c r="K52" s="9">
        <f t="shared" si="0"/>
        <v>203.148</v>
      </c>
      <c r="L52" s="9">
        <f t="shared" si="1"/>
        <v>22.572</v>
      </c>
      <c r="M52" s="10" t="str">
        <f t="shared" si="2"/>
        <v>Large</v>
      </c>
      <c r="N52" s="10" t="str">
        <f t="shared" si="3"/>
        <v>No</v>
      </c>
      <c r="O52" s="9">
        <f t="shared" si="4"/>
        <v>7.524</v>
      </c>
    </row>
    <row r="53" spans="1:15">
      <c r="A53" s="19">
        <v>1052</v>
      </c>
      <c r="B53" s="20">
        <v>45748</v>
      </c>
      <c r="C53" s="19" t="s">
        <v>15</v>
      </c>
      <c r="D53" s="19" t="s">
        <v>43</v>
      </c>
      <c r="E53" s="19" t="s">
        <v>40</v>
      </c>
      <c r="F53" s="19" t="s">
        <v>33</v>
      </c>
      <c r="G53" s="19">
        <v>22</v>
      </c>
      <c r="H53" s="21">
        <v>11.09</v>
      </c>
      <c r="I53" s="22">
        <v>0.05</v>
      </c>
      <c r="J53" s="19" t="s">
        <v>23</v>
      </c>
      <c r="K53" s="9">
        <f t="shared" si="0"/>
        <v>231.781</v>
      </c>
      <c r="L53" s="9">
        <f t="shared" si="1"/>
        <v>12.199</v>
      </c>
      <c r="M53" s="10" t="str">
        <f t="shared" si="2"/>
        <v>Medium</v>
      </c>
      <c r="N53" s="10" t="str">
        <f t="shared" si="3"/>
        <v>No</v>
      </c>
      <c r="O53" s="9">
        <f t="shared" si="4"/>
        <v>10.5355</v>
      </c>
    </row>
    <row r="54" spans="1:15">
      <c r="A54" s="19">
        <v>1053</v>
      </c>
      <c r="B54" s="20">
        <v>46017</v>
      </c>
      <c r="C54" s="19" t="s">
        <v>15</v>
      </c>
      <c r="D54" s="19" t="s">
        <v>34</v>
      </c>
      <c r="E54" s="19" t="s">
        <v>17</v>
      </c>
      <c r="F54" s="19" t="s">
        <v>18</v>
      </c>
      <c r="G54" s="19">
        <v>3</v>
      </c>
      <c r="H54" s="21">
        <v>24.53</v>
      </c>
      <c r="I54" s="22">
        <v>0.05</v>
      </c>
      <c r="J54" s="19" t="s">
        <v>30</v>
      </c>
      <c r="K54" s="9">
        <f t="shared" si="0"/>
        <v>69.9105</v>
      </c>
      <c r="L54" s="9">
        <f t="shared" si="1"/>
        <v>3.6795</v>
      </c>
      <c r="M54" s="10" t="str">
        <f t="shared" si="2"/>
        <v>Small</v>
      </c>
      <c r="N54" s="10" t="str">
        <f t="shared" si="3"/>
        <v>No</v>
      </c>
      <c r="O54" s="9">
        <f t="shared" si="4"/>
        <v>23.3035</v>
      </c>
    </row>
    <row r="55" spans="1:15">
      <c r="A55" s="19">
        <v>1054</v>
      </c>
      <c r="B55" s="20">
        <v>45837</v>
      </c>
      <c r="C55" s="19" t="s">
        <v>20</v>
      </c>
      <c r="D55" s="19" t="s">
        <v>34</v>
      </c>
      <c r="E55" s="19" t="s">
        <v>38</v>
      </c>
      <c r="F55" s="19" t="s">
        <v>18</v>
      </c>
      <c r="G55" s="19">
        <v>15</v>
      </c>
      <c r="H55" s="21">
        <v>231.28</v>
      </c>
      <c r="I55" s="22">
        <v>0</v>
      </c>
      <c r="J55" s="19" t="s">
        <v>30</v>
      </c>
      <c r="K55" s="9">
        <f t="shared" si="0"/>
        <v>3469.2</v>
      </c>
      <c r="L55" s="9">
        <f t="shared" si="1"/>
        <v>0</v>
      </c>
      <c r="M55" s="10" t="str">
        <f t="shared" si="2"/>
        <v>Medium</v>
      </c>
      <c r="N55" s="10" t="str">
        <f t="shared" si="3"/>
        <v>Yes</v>
      </c>
      <c r="O55" s="9">
        <f t="shared" si="4"/>
        <v>231.28</v>
      </c>
    </row>
    <row r="56" spans="1:15">
      <c r="A56" s="19">
        <v>1055</v>
      </c>
      <c r="B56" s="20">
        <v>45826</v>
      </c>
      <c r="C56" s="19" t="s">
        <v>24</v>
      </c>
      <c r="D56" s="19" t="s">
        <v>25</v>
      </c>
      <c r="E56" s="19" t="s">
        <v>38</v>
      </c>
      <c r="F56" s="19" t="s">
        <v>18</v>
      </c>
      <c r="G56" s="19">
        <v>18</v>
      </c>
      <c r="H56" s="21">
        <v>232.83</v>
      </c>
      <c r="I56" s="22">
        <v>0</v>
      </c>
      <c r="J56" s="19" t="s">
        <v>19</v>
      </c>
      <c r="K56" s="9">
        <f t="shared" si="0"/>
        <v>4190.94</v>
      </c>
      <c r="L56" s="9">
        <f t="shared" si="1"/>
        <v>0</v>
      </c>
      <c r="M56" s="10" t="str">
        <f t="shared" si="2"/>
        <v>Medium</v>
      </c>
      <c r="N56" s="10" t="str">
        <f t="shared" si="3"/>
        <v>No</v>
      </c>
      <c r="O56" s="9">
        <f t="shared" si="4"/>
        <v>232.83</v>
      </c>
    </row>
    <row r="57" spans="1:15">
      <c r="A57" s="19">
        <v>1056</v>
      </c>
      <c r="B57" s="20">
        <v>45932</v>
      </c>
      <c r="C57" s="19" t="s">
        <v>15</v>
      </c>
      <c r="D57" s="19" t="s">
        <v>43</v>
      </c>
      <c r="E57" s="19" t="s">
        <v>32</v>
      </c>
      <c r="F57" s="19" t="s">
        <v>33</v>
      </c>
      <c r="G57" s="19">
        <v>8</v>
      </c>
      <c r="H57" s="21">
        <v>8.56</v>
      </c>
      <c r="I57" s="22">
        <v>0</v>
      </c>
      <c r="J57" s="19" t="s">
        <v>23</v>
      </c>
      <c r="K57" s="9">
        <f t="shared" si="0"/>
        <v>68.48</v>
      </c>
      <c r="L57" s="9">
        <f t="shared" si="1"/>
        <v>0</v>
      </c>
      <c r="M57" s="10" t="str">
        <f t="shared" si="2"/>
        <v>Small</v>
      </c>
      <c r="N57" s="10" t="str">
        <f t="shared" si="3"/>
        <v>No</v>
      </c>
      <c r="O57" s="9">
        <f t="shared" si="4"/>
        <v>8.56</v>
      </c>
    </row>
    <row r="58" spans="1:15">
      <c r="A58" s="19">
        <v>1057</v>
      </c>
      <c r="B58" s="20">
        <v>45713</v>
      </c>
      <c r="C58" s="19" t="s">
        <v>24</v>
      </c>
      <c r="D58" s="19" t="s">
        <v>21</v>
      </c>
      <c r="E58" s="19" t="s">
        <v>28</v>
      </c>
      <c r="F58" s="19" t="s">
        <v>29</v>
      </c>
      <c r="G58" s="19">
        <v>21</v>
      </c>
      <c r="H58" s="21">
        <v>34.63</v>
      </c>
      <c r="I58" s="22">
        <v>0.05</v>
      </c>
      <c r="J58" s="19" t="s">
        <v>30</v>
      </c>
      <c r="K58" s="9">
        <f t="shared" si="0"/>
        <v>690.8685</v>
      </c>
      <c r="L58" s="9">
        <f t="shared" si="1"/>
        <v>36.3615</v>
      </c>
      <c r="M58" s="10" t="str">
        <f t="shared" si="2"/>
        <v>Medium</v>
      </c>
      <c r="N58" s="10" t="str">
        <f t="shared" si="3"/>
        <v>No</v>
      </c>
      <c r="O58" s="9">
        <f t="shared" si="4"/>
        <v>32.8985</v>
      </c>
    </row>
    <row r="59" spans="1:15">
      <c r="A59" s="19">
        <v>1058</v>
      </c>
      <c r="B59" s="20">
        <v>45953</v>
      </c>
      <c r="C59" s="19" t="s">
        <v>24</v>
      </c>
      <c r="D59" s="19" t="s">
        <v>34</v>
      </c>
      <c r="E59" s="19" t="s">
        <v>31</v>
      </c>
      <c r="F59" s="19" t="s">
        <v>29</v>
      </c>
      <c r="G59" s="19">
        <v>28</v>
      </c>
      <c r="H59" s="21">
        <v>403.52</v>
      </c>
      <c r="I59" s="22">
        <v>0</v>
      </c>
      <c r="J59" s="19" t="s">
        <v>30</v>
      </c>
      <c r="K59" s="9">
        <f t="shared" si="0"/>
        <v>11298.56</v>
      </c>
      <c r="L59" s="9">
        <f t="shared" si="1"/>
        <v>0</v>
      </c>
      <c r="M59" s="10" t="str">
        <f t="shared" si="2"/>
        <v>Large</v>
      </c>
      <c r="N59" s="10" t="str">
        <f t="shared" si="3"/>
        <v>Yes</v>
      </c>
      <c r="O59" s="9">
        <f t="shared" si="4"/>
        <v>403.52</v>
      </c>
    </row>
    <row r="60" spans="1:15">
      <c r="A60" s="19">
        <v>1059</v>
      </c>
      <c r="B60" s="20">
        <v>45878</v>
      </c>
      <c r="C60" s="19" t="s">
        <v>36</v>
      </c>
      <c r="D60" s="19" t="s">
        <v>21</v>
      </c>
      <c r="E60" s="19" t="s">
        <v>17</v>
      </c>
      <c r="F60" s="19" t="s">
        <v>18</v>
      </c>
      <c r="G60" s="19">
        <v>22</v>
      </c>
      <c r="H60" s="21">
        <v>26.8</v>
      </c>
      <c r="I60" s="22">
        <v>0.1</v>
      </c>
      <c r="J60" s="19" t="s">
        <v>19</v>
      </c>
      <c r="K60" s="9">
        <f t="shared" si="0"/>
        <v>530.64</v>
      </c>
      <c r="L60" s="9">
        <f t="shared" si="1"/>
        <v>58.96</v>
      </c>
      <c r="M60" s="10" t="str">
        <f t="shared" si="2"/>
        <v>Medium</v>
      </c>
      <c r="N60" s="10" t="str">
        <f t="shared" si="3"/>
        <v>No</v>
      </c>
      <c r="O60" s="9">
        <f t="shared" si="4"/>
        <v>24.12</v>
      </c>
    </row>
    <row r="61" spans="1:15">
      <c r="A61" s="19">
        <v>1060</v>
      </c>
      <c r="B61" s="20">
        <v>45811</v>
      </c>
      <c r="C61" s="19" t="s">
        <v>26</v>
      </c>
      <c r="D61" s="19" t="s">
        <v>43</v>
      </c>
      <c r="E61" s="19" t="s">
        <v>22</v>
      </c>
      <c r="F61" s="19" t="s">
        <v>18</v>
      </c>
      <c r="G61" s="19">
        <v>27</v>
      </c>
      <c r="H61" s="21">
        <v>58.17</v>
      </c>
      <c r="I61" s="22">
        <v>0</v>
      </c>
      <c r="J61" s="19" t="s">
        <v>19</v>
      </c>
      <c r="K61" s="9">
        <f t="shared" si="0"/>
        <v>1570.59</v>
      </c>
      <c r="L61" s="9">
        <f t="shared" si="1"/>
        <v>0</v>
      </c>
      <c r="M61" s="10" t="str">
        <f t="shared" si="2"/>
        <v>Large</v>
      </c>
      <c r="N61" s="10" t="str">
        <f t="shared" si="3"/>
        <v>No</v>
      </c>
      <c r="O61" s="9">
        <f t="shared" si="4"/>
        <v>58.17</v>
      </c>
    </row>
    <row r="62" spans="1:15">
      <c r="A62" s="19">
        <v>1061</v>
      </c>
      <c r="B62" s="20">
        <v>45723</v>
      </c>
      <c r="C62" s="19" t="s">
        <v>15</v>
      </c>
      <c r="D62" s="19" t="s">
        <v>43</v>
      </c>
      <c r="E62" s="19" t="s">
        <v>31</v>
      </c>
      <c r="F62" s="19" t="s">
        <v>29</v>
      </c>
      <c r="G62" s="19">
        <v>25</v>
      </c>
      <c r="H62" s="21">
        <v>414.65</v>
      </c>
      <c r="I62" s="22">
        <v>0.15</v>
      </c>
      <c r="J62" s="19" t="s">
        <v>30</v>
      </c>
      <c r="K62" s="9">
        <f t="shared" si="0"/>
        <v>8811.3125</v>
      </c>
      <c r="L62" s="9">
        <f t="shared" si="1"/>
        <v>1554.9375</v>
      </c>
      <c r="M62" s="10" t="str">
        <f t="shared" si="2"/>
        <v>Medium</v>
      </c>
      <c r="N62" s="10" t="str">
        <f t="shared" si="3"/>
        <v>Yes</v>
      </c>
      <c r="O62" s="9">
        <f t="shared" si="4"/>
        <v>352.4525</v>
      </c>
    </row>
    <row r="63" spans="1:15">
      <c r="A63" s="19">
        <v>1062</v>
      </c>
      <c r="B63" s="20">
        <v>45938</v>
      </c>
      <c r="C63" s="19" t="s">
        <v>24</v>
      </c>
      <c r="D63" s="19" t="s">
        <v>27</v>
      </c>
      <c r="E63" s="19" t="s">
        <v>35</v>
      </c>
      <c r="F63" s="19" t="s">
        <v>18</v>
      </c>
      <c r="G63" s="19">
        <v>14</v>
      </c>
      <c r="H63" s="21">
        <v>823.33</v>
      </c>
      <c r="I63" s="22">
        <v>0.05</v>
      </c>
      <c r="J63" s="19" t="s">
        <v>30</v>
      </c>
      <c r="K63" s="9">
        <f t="shared" si="0"/>
        <v>10950.289</v>
      </c>
      <c r="L63" s="9">
        <f t="shared" si="1"/>
        <v>576.331</v>
      </c>
      <c r="M63" s="10" t="str">
        <f t="shared" si="2"/>
        <v>Medium</v>
      </c>
      <c r="N63" s="10" t="str">
        <f t="shared" si="3"/>
        <v>Yes</v>
      </c>
      <c r="O63" s="9">
        <f t="shared" si="4"/>
        <v>782.1635</v>
      </c>
    </row>
    <row r="64" spans="1:15">
      <c r="A64" s="19">
        <v>1063</v>
      </c>
      <c r="B64" s="20">
        <v>45884</v>
      </c>
      <c r="C64" s="19" t="s">
        <v>15</v>
      </c>
      <c r="D64" s="19" t="s">
        <v>21</v>
      </c>
      <c r="E64" s="19" t="s">
        <v>37</v>
      </c>
      <c r="F64" s="19" t="s">
        <v>29</v>
      </c>
      <c r="G64" s="19">
        <v>33</v>
      </c>
      <c r="H64" s="21">
        <v>154.22</v>
      </c>
      <c r="I64" s="22">
        <v>0.05</v>
      </c>
      <c r="J64" s="19" t="s">
        <v>30</v>
      </c>
      <c r="K64" s="9">
        <f t="shared" si="0"/>
        <v>4834.797</v>
      </c>
      <c r="L64" s="9">
        <f t="shared" si="1"/>
        <v>254.463</v>
      </c>
      <c r="M64" s="10" t="str">
        <f t="shared" si="2"/>
        <v>Large</v>
      </c>
      <c r="N64" s="10" t="str">
        <f t="shared" si="3"/>
        <v>Yes</v>
      </c>
      <c r="O64" s="9">
        <f t="shared" si="4"/>
        <v>146.509</v>
      </c>
    </row>
    <row r="65" spans="1:15">
      <c r="A65" s="19">
        <v>1064</v>
      </c>
      <c r="B65" s="20">
        <v>45921</v>
      </c>
      <c r="C65" s="19" t="s">
        <v>36</v>
      </c>
      <c r="D65" s="19" t="s">
        <v>34</v>
      </c>
      <c r="E65" s="19" t="s">
        <v>28</v>
      </c>
      <c r="F65" s="19" t="s">
        <v>29</v>
      </c>
      <c r="G65" s="19">
        <v>16</v>
      </c>
      <c r="H65" s="21">
        <v>34.08</v>
      </c>
      <c r="I65" s="22">
        <v>0.15</v>
      </c>
      <c r="J65" s="19" t="s">
        <v>23</v>
      </c>
      <c r="K65" s="9">
        <f t="shared" si="0"/>
        <v>463.488</v>
      </c>
      <c r="L65" s="9">
        <f t="shared" si="1"/>
        <v>81.792</v>
      </c>
      <c r="M65" s="10" t="str">
        <f t="shared" si="2"/>
        <v>Medium</v>
      </c>
      <c r="N65" s="10" t="str">
        <f t="shared" si="3"/>
        <v>No</v>
      </c>
      <c r="O65" s="9">
        <f t="shared" si="4"/>
        <v>28.968</v>
      </c>
    </row>
    <row r="66" spans="1:15">
      <c r="A66" s="19">
        <v>1065</v>
      </c>
      <c r="B66" s="20">
        <v>45733</v>
      </c>
      <c r="C66" s="19" t="s">
        <v>20</v>
      </c>
      <c r="D66" s="19" t="s">
        <v>42</v>
      </c>
      <c r="E66" s="19" t="s">
        <v>35</v>
      </c>
      <c r="F66" s="19" t="s">
        <v>18</v>
      </c>
      <c r="G66" s="19">
        <v>31</v>
      </c>
      <c r="H66" s="21">
        <v>788.29</v>
      </c>
      <c r="I66" s="22">
        <v>0.1</v>
      </c>
      <c r="J66" s="19" t="s">
        <v>30</v>
      </c>
      <c r="K66" s="9">
        <f t="shared" ref="K66:K129" si="5">G66*H66*(1-I66)</f>
        <v>21993.291</v>
      </c>
      <c r="L66" s="9">
        <f t="shared" ref="L66:L129" si="6">G66*H66*I66</f>
        <v>2443.699</v>
      </c>
      <c r="M66" s="10" t="str">
        <f t="shared" ref="M66:M129" si="7">IF(G66&lt;10,"Small",IF(G66&lt;=25,"Medium","Large"))</f>
        <v>Large</v>
      </c>
      <c r="N66" s="10" t="str">
        <f t="shared" ref="N66:N129" si="8">IF(AND(K66&gt;2000,J66="Wholesale"),"Yes","No")</f>
        <v>Yes</v>
      </c>
      <c r="O66" s="9">
        <f t="shared" ref="O66:O129" si="9">IFERROR(K66/G66,"N/A")</f>
        <v>709.461</v>
      </c>
    </row>
    <row r="67" spans="1:15">
      <c r="A67" s="19">
        <v>1066</v>
      </c>
      <c r="B67" s="20">
        <v>45980</v>
      </c>
      <c r="C67" s="19" t="s">
        <v>26</v>
      </c>
      <c r="D67" s="19" t="s">
        <v>34</v>
      </c>
      <c r="E67" s="19" t="s">
        <v>28</v>
      </c>
      <c r="F67" s="19" t="s">
        <v>29</v>
      </c>
      <c r="G67" s="19">
        <v>25</v>
      </c>
      <c r="H67" s="21">
        <v>33.29</v>
      </c>
      <c r="I67" s="22">
        <v>0.05</v>
      </c>
      <c r="J67" s="19" t="s">
        <v>23</v>
      </c>
      <c r="K67" s="9">
        <f t="shared" si="5"/>
        <v>790.6375</v>
      </c>
      <c r="L67" s="9">
        <f t="shared" si="6"/>
        <v>41.6125</v>
      </c>
      <c r="M67" s="10" t="str">
        <f t="shared" si="7"/>
        <v>Medium</v>
      </c>
      <c r="N67" s="10" t="str">
        <f t="shared" si="8"/>
        <v>No</v>
      </c>
      <c r="O67" s="9">
        <f t="shared" si="9"/>
        <v>31.6255</v>
      </c>
    </row>
    <row r="68" spans="1:15">
      <c r="A68" s="19">
        <v>1067</v>
      </c>
      <c r="B68" s="20">
        <v>45993</v>
      </c>
      <c r="C68" s="19" t="s">
        <v>15</v>
      </c>
      <c r="D68" s="19" t="s">
        <v>16</v>
      </c>
      <c r="E68" s="19" t="s">
        <v>35</v>
      </c>
      <c r="F68" s="19" t="s">
        <v>18</v>
      </c>
      <c r="G68" s="19">
        <v>7</v>
      </c>
      <c r="H68" s="21">
        <v>903.4</v>
      </c>
      <c r="I68" s="22">
        <v>0.05</v>
      </c>
      <c r="J68" s="19" t="s">
        <v>19</v>
      </c>
      <c r="K68" s="9">
        <f t="shared" si="5"/>
        <v>6007.61</v>
      </c>
      <c r="L68" s="9">
        <f t="shared" si="6"/>
        <v>316.19</v>
      </c>
      <c r="M68" s="10" t="str">
        <f t="shared" si="7"/>
        <v>Small</v>
      </c>
      <c r="N68" s="10" t="str">
        <f t="shared" si="8"/>
        <v>No</v>
      </c>
      <c r="O68" s="9">
        <f t="shared" si="9"/>
        <v>858.23</v>
      </c>
    </row>
    <row r="69" spans="1:15">
      <c r="A69" s="19">
        <v>1068</v>
      </c>
      <c r="B69" s="20">
        <v>45923</v>
      </c>
      <c r="C69" s="19" t="s">
        <v>26</v>
      </c>
      <c r="D69" s="19" t="s">
        <v>16</v>
      </c>
      <c r="E69" s="19" t="s">
        <v>37</v>
      </c>
      <c r="F69" s="19" t="s">
        <v>29</v>
      </c>
      <c r="G69" s="19">
        <v>16</v>
      </c>
      <c r="H69" s="21">
        <v>139.21</v>
      </c>
      <c r="I69" s="22">
        <v>0</v>
      </c>
      <c r="J69" s="19" t="s">
        <v>30</v>
      </c>
      <c r="K69" s="9">
        <f t="shared" si="5"/>
        <v>2227.36</v>
      </c>
      <c r="L69" s="9">
        <f t="shared" si="6"/>
        <v>0</v>
      </c>
      <c r="M69" s="10" t="str">
        <f t="shared" si="7"/>
        <v>Medium</v>
      </c>
      <c r="N69" s="10" t="str">
        <f t="shared" si="8"/>
        <v>Yes</v>
      </c>
      <c r="O69" s="9">
        <f t="shared" si="9"/>
        <v>139.21</v>
      </c>
    </row>
    <row r="70" spans="1:15">
      <c r="A70" s="19">
        <v>1069</v>
      </c>
      <c r="B70" s="20">
        <v>45999</v>
      </c>
      <c r="C70" s="19" t="s">
        <v>26</v>
      </c>
      <c r="D70" s="19" t="s">
        <v>25</v>
      </c>
      <c r="E70" s="19" t="s">
        <v>22</v>
      </c>
      <c r="F70" s="19" t="s">
        <v>18</v>
      </c>
      <c r="G70" s="19">
        <v>39</v>
      </c>
      <c r="H70" s="21">
        <v>64.68</v>
      </c>
      <c r="I70" s="22">
        <v>0</v>
      </c>
      <c r="J70" s="19" t="s">
        <v>19</v>
      </c>
      <c r="K70" s="9">
        <f t="shared" si="5"/>
        <v>2522.52</v>
      </c>
      <c r="L70" s="9">
        <f t="shared" si="6"/>
        <v>0</v>
      </c>
      <c r="M70" s="10" t="str">
        <f t="shared" si="7"/>
        <v>Large</v>
      </c>
      <c r="N70" s="10" t="str">
        <f t="shared" si="8"/>
        <v>No</v>
      </c>
      <c r="O70" s="9">
        <f t="shared" si="9"/>
        <v>64.68</v>
      </c>
    </row>
    <row r="71" spans="1:15">
      <c r="A71" s="19">
        <v>1070</v>
      </c>
      <c r="B71" s="20">
        <v>45886</v>
      </c>
      <c r="C71" s="19" t="s">
        <v>36</v>
      </c>
      <c r="D71" s="19" t="s">
        <v>34</v>
      </c>
      <c r="E71" s="19" t="s">
        <v>41</v>
      </c>
      <c r="F71" s="19" t="s">
        <v>29</v>
      </c>
      <c r="G71" s="19">
        <v>31</v>
      </c>
      <c r="H71" s="21">
        <v>187.02</v>
      </c>
      <c r="I71" s="22">
        <v>0.05</v>
      </c>
      <c r="J71" s="19" t="s">
        <v>19</v>
      </c>
      <c r="K71" s="9">
        <f t="shared" si="5"/>
        <v>5507.739</v>
      </c>
      <c r="L71" s="9">
        <f t="shared" si="6"/>
        <v>289.881</v>
      </c>
      <c r="M71" s="10" t="str">
        <f t="shared" si="7"/>
        <v>Large</v>
      </c>
      <c r="N71" s="10" t="str">
        <f t="shared" si="8"/>
        <v>No</v>
      </c>
      <c r="O71" s="9">
        <f t="shared" si="9"/>
        <v>177.669</v>
      </c>
    </row>
    <row r="72" spans="1:15">
      <c r="A72" s="19">
        <v>1071</v>
      </c>
      <c r="B72" s="20">
        <v>45799</v>
      </c>
      <c r="C72" s="19" t="s">
        <v>26</v>
      </c>
      <c r="D72" s="19" t="s">
        <v>21</v>
      </c>
      <c r="E72" s="19" t="s">
        <v>22</v>
      </c>
      <c r="F72" s="19" t="s">
        <v>18</v>
      </c>
      <c r="G72" s="19">
        <v>16</v>
      </c>
      <c r="H72" s="21">
        <v>59.85</v>
      </c>
      <c r="I72" s="22">
        <v>0</v>
      </c>
      <c r="J72" s="19" t="s">
        <v>19</v>
      </c>
      <c r="K72" s="9">
        <f t="shared" si="5"/>
        <v>957.6</v>
      </c>
      <c r="L72" s="9">
        <f t="shared" si="6"/>
        <v>0</v>
      </c>
      <c r="M72" s="10" t="str">
        <f t="shared" si="7"/>
        <v>Medium</v>
      </c>
      <c r="N72" s="10" t="str">
        <f t="shared" si="8"/>
        <v>No</v>
      </c>
      <c r="O72" s="9">
        <f t="shared" si="9"/>
        <v>59.85</v>
      </c>
    </row>
    <row r="73" spans="1:15">
      <c r="A73" s="19">
        <v>1072</v>
      </c>
      <c r="B73" s="20">
        <v>45804</v>
      </c>
      <c r="C73" s="19" t="s">
        <v>20</v>
      </c>
      <c r="D73" s="19" t="s">
        <v>16</v>
      </c>
      <c r="E73" s="19" t="s">
        <v>31</v>
      </c>
      <c r="F73" s="19" t="s">
        <v>29</v>
      </c>
      <c r="G73" s="19">
        <v>21</v>
      </c>
      <c r="H73" s="21">
        <v>404.66</v>
      </c>
      <c r="I73" s="22">
        <v>0.1</v>
      </c>
      <c r="J73" s="19" t="s">
        <v>23</v>
      </c>
      <c r="K73" s="9">
        <f t="shared" si="5"/>
        <v>7648.074</v>
      </c>
      <c r="L73" s="9">
        <f t="shared" si="6"/>
        <v>849.786</v>
      </c>
      <c r="M73" s="10" t="str">
        <f t="shared" si="7"/>
        <v>Medium</v>
      </c>
      <c r="N73" s="10" t="str">
        <f t="shared" si="8"/>
        <v>No</v>
      </c>
      <c r="O73" s="9">
        <f t="shared" si="9"/>
        <v>364.194</v>
      </c>
    </row>
    <row r="74" spans="1:15">
      <c r="A74" s="19">
        <v>1073</v>
      </c>
      <c r="B74" s="20">
        <v>45776</v>
      </c>
      <c r="C74" s="19" t="s">
        <v>26</v>
      </c>
      <c r="D74" s="19" t="s">
        <v>25</v>
      </c>
      <c r="E74" s="19" t="s">
        <v>40</v>
      </c>
      <c r="F74" s="19" t="s">
        <v>33</v>
      </c>
      <c r="G74" s="19">
        <v>14</v>
      </c>
      <c r="H74" s="21">
        <v>12.37</v>
      </c>
      <c r="I74" s="22">
        <v>0</v>
      </c>
      <c r="J74" s="19" t="s">
        <v>30</v>
      </c>
      <c r="K74" s="9">
        <f t="shared" si="5"/>
        <v>173.18</v>
      </c>
      <c r="L74" s="9">
        <f t="shared" si="6"/>
        <v>0</v>
      </c>
      <c r="M74" s="10" t="str">
        <f t="shared" si="7"/>
        <v>Medium</v>
      </c>
      <c r="N74" s="10" t="str">
        <f t="shared" si="8"/>
        <v>No</v>
      </c>
      <c r="O74" s="9">
        <f t="shared" si="9"/>
        <v>12.37</v>
      </c>
    </row>
    <row r="75" spans="1:15">
      <c r="A75" s="19">
        <v>1074</v>
      </c>
      <c r="B75" s="20">
        <v>45935</v>
      </c>
      <c r="C75" s="19" t="s">
        <v>26</v>
      </c>
      <c r="D75" s="19" t="s">
        <v>39</v>
      </c>
      <c r="E75" s="19" t="s">
        <v>37</v>
      </c>
      <c r="F75" s="19" t="s">
        <v>29</v>
      </c>
      <c r="G75" s="19">
        <v>14</v>
      </c>
      <c r="H75" s="21">
        <v>147.98</v>
      </c>
      <c r="I75" s="22">
        <v>0.05</v>
      </c>
      <c r="J75" s="19" t="s">
        <v>19</v>
      </c>
      <c r="K75" s="9">
        <f t="shared" si="5"/>
        <v>1968.134</v>
      </c>
      <c r="L75" s="9">
        <f t="shared" si="6"/>
        <v>103.586</v>
      </c>
      <c r="M75" s="10" t="str">
        <f t="shared" si="7"/>
        <v>Medium</v>
      </c>
      <c r="N75" s="10" t="str">
        <f t="shared" si="8"/>
        <v>No</v>
      </c>
      <c r="O75" s="9">
        <f t="shared" si="9"/>
        <v>140.581</v>
      </c>
    </row>
    <row r="76" spans="1:15">
      <c r="A76" s="19">
        <v>1075</v>
      </c>
      <c r="B76" s="20">
        <v>45852</v>
      </c>
      <c r="C76" s="19" t="s">
        <v>26</v>
      </c>
      <c r="D76" s="19" t="s">
        <v>25</v>
      </c>
      <c r="E76" s="19" t="s">
        <v>37</v>
      </c>
      <c r="F76" s="19" t="s">
        <v>29</v>
      </c>
      <c r="G76" s="19">
        <v>23</v>
      </c>
      <c r="H76" s="21">
        <v>138.14</v>
      </c>
      <c r="I76" s="22">
        <v>0</v>
      </c>
      <c r="J76" s="19" t="s">
        <v>19</v>
      </c>
      <c r="K76" s="9">
        <f t="shared" si="5"/>
        <v>3177.22</v>
      </c>
      <c r="L76" s="9">
        <f t="shared" si="6"/>
        <v>0</v>
      </c>
      <c r="M76" s="10" t="str">
        <f t="shared" si="7"/>
        <v>Medium</v>
      </c>
      <c r="N76" s="10" t="str">
        <f t="shared" si="8"/>
        <v>No</v>
      </c>
      <c r="O76" s="9">
        <f t="shared" si="9"/>
        <v>138.14</v>
      </c>
    </row>
    <row r="77" spans="1:15">
      <c r="A77" s="19">
        <v>1076</v>
      </c>
      <c r="B77" s="20">
        <v>45937</v>
      </c>
      <c r="C77" s="19" t="s">
        <v>36</v>
      </c>
      <c r="D77" s="19" t="s">
        <v>25</v>
      </c>
      <c r="E77" s="19" t="s">
        <v>28</v>
      </c>
      <c r="F77" s="19" t="s">
        <v>29</v>
      </c>
      <c r="G77" s="19">
        <v>32</v>
      </c>
      <c r="H77" s="21">
        <v>37.23</v>
      </c>
      <c r="I77" s="22">
        <v>0</v>
      </c>
      <c r="J77" s="19" t="s">
        <v>30</v>
      </c>
      <c r="K77" s="9">
        <f t="shared" si="5"/>
        <v>1191.36</v>
      </c>
      <c r="L77" s="9">
        <f t="shared" si="6"/>
        <v>0</v>
      </c>
      <c r="M77" s="10" t="str">
        <f t="shared" si="7"/>
        <v>Large</v>
      </c>
      <c r="N77" s="10" t="str">
        <f t="shared" si="8"/>
        <v>No</v>
      </c>
      <c r="O77" s="9">
        <f t="shared" si="9"/>
        <v>37.23</v>
      </c>
    </row>
    <row r="78" spans="1:15">
      <c r="A78" s="19">
        <v>1077</v>
      </c>
      <c r="B78" s="20">
        <v>45672</v>
      </c>
      <c r="C78" s="19" t="s">
        <v>15</v>
      </c>
      <c r="D78" s="19" t="s">
        <v>42</v>
      </c>
      <c r="E78" s="19" t="s">
        <v>40</v>
      </c>
      <c r="F78" s="19" t="s">
        <v>33</v>
      </c>
      <c r="G78" s="19">
        <v>26</v>
      </c>
      <c r="H78" s="21">
        <v>11.69</v>
      </c>
      <c r="I78" s="22">
        <v>0.15</v>
      </c>
      <c r="J78" s="19" t="s">
        <v>23</v>
      </c>
      <c r="K78" s="9">
        <f t="shared" si="5"/>
        <v>258.349</v>
      </c>
      <c r="L78" s="9">
        <f t="shared" si="6"/>
        <v>45.591</v>
      </c>
      <c r="M78" s="10" t="str">
        <f t="shared" si="7"/>
        <v>Large</v>
      </c>
      <c r="N78" s="10" t="str">
        <f t="shared" si="8"/>
        <v>No</v>
      </c>
      <c r="O78" s="9">
        <f t="shared" si="9"/>
        <v>9.9365</v>
      </c>
    </row>
    <row r="79" spans="1:15">
      <c r="A79" s="19">
        <v>1078</v>
      </c>
      <c r="B79" s="20">
        <v>45976</v>
      </c>
      <c r="C79" s="19" t="s">
        <v>24</v>
      </c>
      <c r="D79" s="19" t="s">
        <v>39</v>
      </c>
      <c r="E79" s="19" t="s">
        <v>22</v>
      </c>
      <c r="F79" s="19" t="s">
        <v>18</v>
      </c>
      <c r="G79" s="19">
        <v>26</v>
      </c>
      <c r="H79" s="21">
        <v>55.46</v>
      </c>
      <c r="I79" s="22">
        <v>0.1</v>
      </c>
      <c r="J79" s="19" t="s">
        <v>23</v>
      </c>
      <c r="K79" s="9">
        <f t="shared" si="5"/>
        <v>1297.764</v>
      </c>
      <c r="L79" s="9">
        <f t="shared" si="6"/>
        <v>144.196</v>
      </c>
      <c r="M79" s="10" t="str">
        <f t="shared" si="7"/>
        <v>Large</v>
      </c>
      <c r="N79" s="10" t="str">
        <f t="shared" si="8"/>
        <v>No</v>
      </c>
      <c r="O79" s="9">
        <f t="shared" si="9"/>
        <v>49.914</v>
      </c>
    </row>
    <row r="80" spans="1:15">
      <c r="A80" s="19">
        <v>1079</v>
      </c>
      <c r="B80" s="20">
        <v>45987</v>
      </c>
      <c r="C80" s="19" t="s">
        <v>20</v>
      </c>
      <c r="D80" s="19" t="s">
        <v>43</v>
      </c>
      <c r="E80" s="19" t="s">
        <v>40</v>
      </c>
      <c r="F80" s="19" t="s">
        <v>33</v>
      </c>
      <c r="G80" s="19">
        <v>30</v>
      </c>
      <c r="H80" s="21">
        <v>11.3</v>
      </c>
      <c r="I80" s="22">
        <v>0</v>
      </c>
      <c r="J80" s="19" t="s">
        <v>30</v>
      </c>
      <c r="K80" s="9">
        <f t="shared" si="5"/>
        <v>339</v>
      </c>
      <c r="L80" s="9">
        <f t="shared" si="6"/>
        <v>0</v>
      </c>
      <c r="M80" s="10" t="str">
        <f t="shared" si="7"/>
        <v>Large</v>
      </c>
      <c r="N80" s="10" t="str">
        <f t="shared" si="8"/>
        <v>No</v>
      </c>
      <c r="O80" s="9">
        <f t="shared" si="9"/>
        <v>11.3</v>
      </c>
    </row>
    <row r="81" spans="1:15">
      <c r="A81" s="19">
        <v>1080</v>
      </c>
      <c r="B81" s="20">
        <v>45825</v>
      </c>
      <c r="C81" s="19" t="s">
        <v>36</v>
      </c>
      <c r="D81" s="19" t="s">
        <v>25</v>
      </c>
      <c r="E81" s="19" t="s">
        <v>31</v>
      </c>
      <c r="F81" s="19" t="s">
        <v>29</v>
      </c>
      <c r="G81" s="19">
        <v>22</v>
      </c>
      <c r="H81" s="21">
        <v>416.96</v>
      </c>
      <c r="I81" s="22">
        <v>0.05</v>
      </c>
      <c r="J81" s="19" t="s">
        <v>30</v>
      </c>
      <c r="K81" s="9">
        <f t="shared" si="5"/>
        <v>8714.464</v>
      </c>
      <c r="L81" s="9">
        <f t="shared" si="6"/>
        <v>458.656</v>
      </c>
      <c r="M81" s="10" t="str">
        <f t="shared" si="7"/>
        <v>Medium</v>
      </c>
      <c r="N81" s="10" t="str">
        <f t="shared" si="8"/>
        <v>Yes</v>
      </c>
      <c r="O81" s="9">
        <f t="shared" si="9"/>
        <v>396.112</v>
      </c>
    </row>
    <row r="82" spans="1:15">
      <c r="A82" s="19">
        <v>1081</v>
      </c>
      <c r="B82" s="20">
        <v>45699</v>
      </c>
      <c r="C82" s="19" t="s">
        <v>36</v>
      </c>
      <c r="D82" s="19" t="s">
        <v>34</v>
      </c>
      <c r="E82" s="19" t="s">
        <v>37</v>
      </c>
      <c r="F82" s="19" t="s">
        <v>29</v>
      </c>
      <c r="G82" s="19">
        <v>35</v>
      </c>
      <c r="H82" s="21">
        <v>138.47</v>
      </c>
      <c r="I82" s="22">
        <v>0</v>
      </c>
      <c r="J82" s="19" t="s">
        <v>19</v>
      </c>
      <c r="K82" s="9">
        <f t="shared" si="5"/>
        <v>4846.45</v>
      </c>
      <c r="L82" s="9">
        <f t="shared" si="6"/>
        <v>0</v>
      </c>
      <c r="M82" s="10" t="str">
        <f t="shared" si="7"/>
        <v>Large</v>
      </c>
      <c r="N82" s="10" t="str">
        <f t="shared" si="8"/>
        <v>No</v>
      </c>
      <c r="O82" s="9">
        <f t="shared" si="9"/>
        <v>138.47</v>
      </c>
    </row>
    <row r="83" spans="1:15">
      <c r="A83" s="19">
        <v>1082</v>
      </c>
      <c r="B83" s="20">
        <v>45693</v>
      </c>
      <c r="C83" s="19" t="s">
        <v>20</v>
      </c>
      <c r="D83" s="19" t="s">
        <v>16</v>
      </c>
      <c r="E83" s="19" t="s">
        <v>35</v>
      </c>
      <c r="F83" s="19" t="s">
        <v>18</v>
      </c>
      <c r="G83" s="19">
        <v>16</v>
      </c>
      <c r="H83" s="21">
        <v>884.58</v>
      </c>
      <c r="I83" s="22">
        <v>0</v>
      </c>
      <c r="J83" s="19" t="s">
        <v>23</v>
      </c>
      <c r="K83" s="9">
        <f t="shared" si="5"/>
        <v>14153.28</v>
      </c>
      <c r="L83" s="9">
        <f t="shared" si="6"/>
        <v>0</v>
      </c>
      <c r="M83" s="10" t="str">
        <f t="shared" si="7"/>
        <v>Medium</v>
      </c>
      <c r="N83" s="10" t="str">
        <f t="shared" si="8"/>
        <v>No</v>
      </c>
      <c r="O83" s="9">
        <f t="shared" si="9"/>
        <v>884.58</v>
      </c>
    </row>
    <row r="84" spans="1:15">
      <c r="A84" s="19">
        <v>1083</v>
      </c>
      <c r="B84" s="20">
        <v>45722</v>
      </c>
      <c r="C84" s="19" t="s">
        <v>26</v>
      </c>
      <c r="D84" s="19" t="s">
        <v>43</v>
      </c>
      <c r="E84" s="19" t="s">
        <v>37</v>
      </c>
      <c r="F84" s="19" t="s">
        <v>29</v>
      </c>
      <c r="G84" s="19">
        <v>37</v>
      </c>
      <c r="H84" s="21">
        <v>154.07</v>
      </c>
      <c r="I84" s="22">
        <v>0</v>
      </c>
      <c r="J84" s="19" t="s">
        <v>30</v>
      </c>
      <c r="K84" s="9">
        <f t="shared" si="5"/>
        <v>5700.59</v>
      </c>
      <c r="L84" s="9">
        <f t="shared" si="6"/>
        <v>0</v>
      </c>
      <c r="M84" s="10" t="str">
        <f t="shared" si="7"/>
        <v>Large</v>
      </c>
      <c r="N84" s="10" t="str">
        <f t="shared" si="8"/>
        <v>Yes</v>
      </c>
      <c r="O84" s="9">
        <f t="shared" si="9"/>
        <v>154.07</v>
      </c>
    </row>
    <row r="85" spans="1:15">
      <c r="A85" s="19">
        <v>1084</v>
      </c>
      <c r="B85" s="20">
        <v>45743</v>
      </c>
      <c r="C85" s="19" t="s">
        <v>36</v>
      </c>
      <c r="D85" s="19" t="s">
        <v>21</v>
      </c>
      <c r="E85" s="19" t="s">
        <v>28</v>
      </c>
      <c r="F85" s="19" t="s">
        <v>29</v>
      </c>
      <c r="G85" s="19">
        <v>8</v>
      </c>
      <c r="H85" s="21">
        <v>35.6</v>
      </c>
      <c r="I85" s="22">
        <v>0</v>
      </c>
      <c r="J85" s="19" t="s">
        <v>19</v>
      </c>
      <c r="K85" s="9">
        <f t="shared" si="5"/>
        <v>284.8</v>
      </c>
      <c r="L85" s="9">
        <f t="shared" si="6"/>
        <v>0</v>
      </c>
      <c r="M85" s="10" t="str">
        <f t="shared" si="7"/>
        <v>Small</v>
      </c>
      <c r="N85" s="10" t="str">
        <f t="shared" si="8"/>
        <v>No</v>
      </c>
      <c r="O85" s="9">
        <f t="shared" si="9"/>
        <v>35.6</v>
      </c>
    </row>
    <row r="86" spans="1:15">
      <c r="A86" s="19">
        <v>1085</v>
      </c>
      <c r="B86" s="20">
        <v>45671</v>
      </c>
      <c r="C86" s="19" t="s">
        <v>15</v>
      </c>
      <c r="D86" s="19" t="s">
        <v>21</v>
      </c>
      <c r="E86" s="19" t="s">
        <v>38</v>
      </c>
      <c r="F86" s="19" t="s">
        <v>18</v>
      </c>
      <c r="G86" s="19">
        <v>25</v>
      </c>
      <c r="H86" s="21">
        <v>222.67</v>
      </c>
      <c r="I86" s="22">
        <v>0.05</v>
      </c>
      <c r="J86" s="19" t="s">
        <v>19</v>
      </c>
      <c r="K86" s="9">
        <f t="shared" si="5"/>
        <v>5288.4125</v>
      </c>
      <c r="L86" s="9">
        <f t="shared" si="6"/>
        <v>278.3375</v>
      </c>
      <c r="M86" s="10" t="str">
        <f t="shared" si="7"/>
        <v>Medium</v>
      </c>
      <c r="N86" s="10" t="str">
        <f t="shared" si="8"/>
        <v>No</v>
      </c>
      <c r="O86" s="9">
        <f t="shared" si="9"/>
        <v>211.5365</v>
      </c>
    </row>
    <row r="87" spans="1:15">
      <c r="A87" s="19">
        <v>1086</v>
      </c>
      <c r="B87" s="20">
        <v>46011</v>
      </c>
      <c r="C87" s="19" t="s">
        <v>24</v>
      </c>
      <c r="D87" s="19" t="s">
        <v>21</v>
      </c>
      <c r="E87" s="19" t="s">
        <v>31</v>
      </c>
      <c r="F87" s="19" t="s">
        <v>29</v>
      </c>
      <c r="G87" s="19">
        <v>20</v>
      </c>
      <c r="H87" s="21">
        <v>393.25</v>
      </c>
      <c r="I87" s="22">
        <v>0.15</v>
      </c>
      <c r="J87" s="19" t="s">
        <v>19</v>
      </c>
      <c r="K87" s="9">
        <f t="shared" si="5"/>
        <v>6685.25</v>
      </c>
      <c r="L87" s="9">
        <f t="shared" si="6"/>
        <v>1179.75</v>
      </c>
      <c r="M87" s="10" t="str">
        <f t="shared" si="7"/>
        <v>Medium</v>
      </c>
      <c r="N87" s="10" t="str">
        <f t="shared" si="8"/>
        <v>No</v>
      </c>
      <c r="O87" s="9">
        <f t="shared" si="9"/>
        <v>334.2625</v>
      </c>
    </row>
    <row r="88" spans="1:15">
      <c r="A88" s="19">
        <v>1087</v>
      </c>
      <c r="B88" s="20">
        <v>45679</v>
      </c>
      <c r="C88" s="19" t="s">
        <v>24</v>
      </c>
      <c r="D88" s="19" t="s">
        <v>27</v>
      </c>
      <c r="E88" s="19" t="s">
        <v>32</v>
      </c>
      <c r="F88" s="19" t="s">
        <v>33</v>
      </c>
      <c r="G88" s="19">
        <v>24</v>
      </c>
      <c r="H88" s="21">
        <v>8.04</v>
      </c>
      <c r="I88" s="22">
        <v>0</v>
      </c>
      <c r="J88" s="19" t="s">
        <v>23</v>
      </c>
      <c r="K88" s="9">
        <f t="shared" si="5"/>
        <v>192.96</v>
      </c>
      <c r="L88" s="9">
        <f t="shared" si="6"/>
        <v>0</v>
      </c>
      <c r="M88" s="10" t="str">
        <f t="shared" si="7"/>
        <v>Medium</v>
      </c>
      <c r="N88" s="10" t="str">
        <f t="shared" si="8"/>
        <v>No</v>
      </c>
      <c r="O88" s="9">
        <f t="shared" si="9"/>
        <v>8.04</v>
      </c>
    </row>
    <row r="89" spans="1:15">
      <c r="A89" s="19">
        <v>1088</v>
      </c>
      <c r="B89" s="20">
        <v>45873</v>
      </c>
      <c r="C89" s="19" t="s">
        <v>26</v>
      </c>
      <c r="D89" s="19" t="s">
        <v>16</v>
      </c>
      <c r="E89" s="19" t="s">
        <v>37</v>
      </c>
      <c r="F89" s="19" t="s">
        <v>29</v>
      </c>
      <c r="G89" s="19">
        <v>24</v>
      </c>
      <c r="H89" s="21">
        <v>140.53</v>
      </c>
      <c r="I89" s="22">
        <v>0.15</v>
      </c>
      <c r="J89" s="19" t="s">
        <v>30</v>
      </c>
      <c r="K89" s="9">
        <f t="shared" si="5"/>
        <v>2866.812</v>
      </c>
      <c r="L89" s="9">
        <f t="shared" si="6"/>
        <v>505.908</v>
      </c>
      <c r="M89" s="10" t="str">
        <f t="shared" si="7"/>
        <v>Medium</v>
      </c>
      <c r="N89" s="10" t="str">
        <f t="shared" si="8"/>
        <v>Yes</v>
      </c>
      <c r="O89" s="9">
        <f t="shared" si="9"/>
        <v>119.4505</v>
      </c>
    </row>
    <row r="90" spans="1:15">
      <c r="A90" s="19">
        <v>1089</v>
      </c>
      <c r="B90" s="20">
        <v>45748</v>
      </c>
      <c r="C90" s="19" t="s">
        <v>24</v>
      </c>
      <c r="D90" s="19" t="s">
        <v>42</v>
      </c>
      <c r="E90" s="19" t="s">
        <v>22</v>
      </c>
      <c r="F90" s="19" t="s">
        <v>18</v>
      </c>
      <c r="G90" s="19">
        <v>18</v>
      </c>
      <c r="H90" s="21">
        <v>64.47</v>
      </c>
      <c r="I90" s="22">
        <v>0.1</v>
      </c>
      <c r="J90" s="19" t="s">
        <v>30</v>
      </c>
      <c r="K90" s="9">
        <f t="shared" si="5"/>
        <v>1044.414</v>
      </c>
      <c r="L90" s="9">
        <f t="shared" si="6"/>
        <v>116.046</v>
      </c>
      <c r="M90" s="10" t="str">
        <f t="shared" si="7"/>
        <v>Medium</v>
      </c>
      <c r="N90" s="10" t="str">
        <f t="shared" si="8"/>
        <v>No</v>
      </c>
      <c r="O90" s="9">
        <f t="shared" si="9"/>
        <v>58.023</v>
      </c>
    </row>
    <row r="91" spans="1:15">
      <c r="A91" s="19">
        <v>1090</v>
      </c>
      <c r="B91" s="20">
        <v>45881</v>
      </c>
      <c r="C91" s="19" t="s">
        <v>36</v>
      </c>
      <c r="D91" s="19" t="s">
        <v>42</v>
      </c>
      <c r="E91" s="19" t="s">
        <v>28</v>
      </c>
      <c r="F91" s="19" t="s">
        <v>29</v>
      </c>
      <c r="G91" s="19">
        <v>16</v>
      </c>
      <c r="H91" s="21">
        <v>33.7</v>
      </c>
      <c r="I91" s="22">
        <v>0</v>
      </c>
      <c r="J91" s="19" t="s">
        <v>23</v>
      </c>
      <c r="K91" s="9">
        <f t="shared" si="5"/>
        <v>539.2</v>
      </c>
      <c r="L91" s="9">
        <f t="shared" si="6"/>
        <v>0</v>
      </c>
      <c r="M91" s="10" t="str">
        <f t="shared" si="7"/>
        <v>Medium</v>
      </c>
      <c r="N91" s="10" t="str">
        <f t="shared" si="8"/>
        <v>No</v>
      </c>
      <c r="O91" s="9">
        <f t="shared" si="9"/>
        <v>33.7</v>
      </c>
    </row>
    <row r="92" spans="1:15">
      <c r="A92" s="19">
        <v>1091</v>
      </c>
      <c r="B92" s="20">
        <v>45895</v>
      </c>
      <c r="C92" s="19" t="s">
        <v>20</v>
      </c>
      <c r="D92" s="19" t="s">
        <v>42</v>
      </c>
      <c r="E92" s="19" t="s">
        <v>28</v>
      </c>
      <c r="F92" s="19" t="s">
        <v>29</v>
      </c>
      <c r="G92" s="19">
        <v>25</v>
      </c>
      <c r="H92" s="21">
        <v>35.62</v>
      </c>
      <c r="I92" s="22">
        <v>0</v>
      </c>
      <c r="J92" s="19" t="s">
        <v>30</v>
      </c>
      <c r="K92" s="9">
        <f t="shared" si="5"/>
        <v>890.5</v>
      </c>
      <c r="L92" s="9">
        <f t="shared" si="6"/>
        <v>0</v>
      </c>
      <c r="M92" s="10" t="str">
        <f t="shared" si="7"/>
        <v>Medium</v>
      </c>
      <c r="N92" s="10" t="str">
        <f t="shared" si="8"/>
        <v>No</v>
      </c>
      <c r="O92" s="9">
        <f t="shared" si="9"/>
        <v>35.62</v>
      </c>
    </row>
    <row r="93" spans="1:15">
      <c r="A93" s="19">
        <v>1092</v>
      </c>
      <c r="B93" s="20">
        <v>45751</v>
      </c>
      <c r="C93" s="19" t="s">
        <v>36</v>
      </c>
      <c r="D93" s="19" t="s">
        <v>43</v>
      </c>
      <c r="E93" s="19" t="s">
        <v>37</v>
      </c>
      <c r="F93" s="19" t="s">
        <v>29</v>
      </c>
      <c r="G93" s="19">
        <v>17</v>
      </c>
      <c r="H93" s="21">
        <v>143.09</v>
      </c>
      <c r="I93" s="22">
        <v>0</v>
      </c>
      <c r="J93" s="19" t="s">
        <v>19</v>
      </c>
      <c r="K93" s="9">
        <f t="shared" si="5"/>
        <v>2432.53</v>
      </c>
      <c r="L93" s="9">
        <f t="shared" si="6"/>
        <v>0</v>
      </c>
      <c r="M93" s="10" t="str">
        <f t="shared" si="7"/>
        <v>Medium</v>
      </c>
      <c r="N93" s="10" t="str">
        <f t="shared" si="8"/>
        <v>No</v>
      </c>
      <c r="O93" s="9">
        <f t="shared" si="9"/>
        <v>143.09</v>
      </c>
    </row>
    <row r="94" spans="1:15">
      <c r="A94" s="19">
        <v>1093</v>
      </c>
      <c r="B94" s="20">
        <v>45663</v>
      </c>
      <c r="C94" s="19" t="s">
        <v>26</v>
      </c>
      <c r="D94" s="19" t="s">
        <v>42</v>
      </c>
      <c r="E94" s="19" t="s">
        <v>22</v>
      </c>
      <c r="F94" s="19" t="s">
        <v>18</v>
      </c>
      <c r="G94" s="19">
        <v>6</v>
      </c>
      <c r="H94" s="21">
        <v>64.3</v>
      </c>
      <c r="I94" s="22">
        <v>0</v>
      </c>
      <c r="J94" s="19" t="s">
        <v>19</v>
      </c>
      <c r="K94" s="9">
        <f t="shared" si="5"/>
        <v>385.8</v>
      </c>
      <c r="L94" s="9">
        <f t="shared" si="6"/>
        <v>0</v>
      </c>
      <c r="M94" s="10" t="str">
        <f t="shared" si="7"/>
        <v>Small</v>
      </c>
      <c r="N94" s="10" t="str">
        <f t="shared" si="8"/>
        <v>No</v>
      </c>
      <c r="O94" s="9">
        <f t="shared" si="9"/>
        <v>64.3</v>
      </c>
    </row>
    <row r="95" spans="1:15">
      <c r="A95" s="19">
        <v>1094</v>
      </c>
      <c r="B95" s="20">
        <v>45781</v>
      </c>
      <c r="C95" s="19" t="s">
        <v>20</v>
      </c>
      <c r="D95" s="19" t="s">
        <v>21</v>
      </c>
      <c r="E95" s="19" t="s">
        <v>37</v>
      </c>
      <c r="F95" s="19" t="s">
        <v>29</v>
      </c>
      <c r="G95" s="19">
        <v>32</v>
      </c>
      <c r="H95" s="21">
        <v>153.5</v>
      </c>
      <c r="I95" s="22">
        <v>0.05</v>
      </c>
      <c r="J95" s="19" t="s">
        <v>30</v>
      </c>
      <c r="K95" s="9">
        <f t="shared" si="5"/>
        <v>4666.4</v>
      </c>
      <c r="L95" s="9">
        <f t="shared" si="6"/>
        <v>245.6</v>
      </c>
      <c r="M95" s="10" t="str">
        <f t="shared" si="7"/>
        <v>Large</v>
      </c>
      <c r="N95" s="10" t="str">
        <f t="shared" si="8"/>
        <v>Yes</v>
      </c>
      <c r="O95" s="9">
        <f t="shared" si="9"/>
        <v>145.825</v>
      </c>
    </row>
    <row r="96" spans="1:15">
      <c r="A96" s="19">
        <v>1095</v>
      </c>
      <c r="B96" s="20">
        <v>45771</v>
      </c>
      <c r="C96" s="19" t="s">
        <v>24</v>
      </c>
      <c r="D96" s="19" t="s">
        <v>27</v>
      </c>
      <c r="E96" s="19" t="s">
        <v>40</v>
      </c>
      <c r="F96" s="19" t="s">
        <v>33</v>
      </c>
      <c r="G96" s="19">
        <v>20</v>
      </c>
      <c r="H96" s="21">
        <v>12.37</v>
      </c>
      <c r="I96" s="22">
        <v>0.15</v>
      </c>
      <c r="J96" s="19" t="s">
        <v>30</v>
      </c>
      <c r="K96" s="9">
        <f t="shared" si="5"/>
        <v>210.29</v>
      </c>
      <c r="L96" s="9">
        <f t="shared" si="6"/>
        <v>37.11</v>
      </c>
      <c r="M96" s="10" t="str">
        <f t="shared" si="7"/>
        <v>Medium</v>
      </c>
      <c r="N96" s="10" t="str">
        <f t="shared" si="8"/>
        <v>No</v>
      </c>
      <c r="O96" s="9">
        <f t="shared" si="9"/>
        <v>10.5145</v>
      </c>
    </row>
    <row r="97" spans="1:15">
      <c r="A97" s="19">
        <v>1096</v>
      </c>
      <c r="B97" s="20">
        <v>45941</v>
      </c>
      <c r="C97" s="19" t="s">
        <v>36</v>
      </c>
      <c r="D97" s="19" t="s">
        <v>42</v>
      </c>
      <c r="E97" s="19" t="s">
        <v>22</v>
      </c>
      <c r="F97" s="19" t="s">
        <v>18</v>
      </c>
      <c r="G97" s="19">
        <v>36</v>
      </c>
      <c r="H97" s="21">
        <v>58.5</v>
      </c>
      <c r="I97" s="22">
        <v>0</v>
      </c>
      <c r="J97" s="19" t="s">
        <v>30</v>
      </c>
      <c r="K97" s="9">
        <f t="shared" si="5"/>
        <v>2106</v>
      </c>
      <c r="L97" s="9">
        <f t="shared" si="6"/>
        <v>0</v>
      </c>
      <c r="M97" s="10" t="str">
        <f t="shared" si="7"/>
        <v>Large</v>
      </c>
      <c r="N97" s="10" t="str">
        <f t="shared" si="8"/>
        <v>Yes</v>
      </c>
      <c r="O97" s="9">
        <f t="shared" si="9"/>
        <v>58.5</v>
      </c>
    </row>
    <row r="98" spans="1:15">
      <c r="A98" s="19">
        <v>1097</v>
      </c>
      <c r="B98" s="20">
        <v>45814</v>
      </c>
      <c r="C98" s="19" t="s">
        <v>20</v>
      </c>
      <c r="D98" s="19" t="s">
        <v>16</v>
      </c>
      <c r="E98" s="19" t="s">
        <v>38</v>
      </c>
      <c r="F98" s="19" t="s">
        <v>18</v>
      </c>
      <c r="G98" s="19">
        <v>13</v>
      </c>
      <c r="H98" s="21">
        <v>210.51</v>
      </c>
      <c r="I98" s="22">
        <v>0</v>
      </c>
      <c r="J98" s="19" t="s">
        <v>23</v>
      </c>
      <c r="K98" s="9">
        <f t="shared" si="5"/>
        <v>2736.63</v>
      </c>
      <c r="L98" s="9">
        <f t="shared" si="6"/>
        <v>0</v>
      </c>
      <c r="M98" s="10" t="str">
        <f t="shared" si="7"/>
        <v>Medium</v>
      </c>
      <c r="N98" s="10" t="str">
        <f t="shared" si="8"/>
        <v>No</v>
      </c>
      <c r="O98" s="9">
        <f t="shared" si="9"/>
        <v>210.51</v>
      </c>
    </row>
    <row r="99" spans="1:15">
      <c r="A99" s="19">
        <v>1098</v>
      </c>
      <c r="B99" s="20">
        <v>45768</v>
      </c>
      <c r="C99" s="19" t="s">
        <v>24</v>
      </c>
      <c r="D99" s="19" t="s">
        <v>43</v>
      </c>
      <c r="E99" s="19" t="s">
        <v>37</v>
      </c>
      <c r="F99" s="19" t="s">
        <v>29</v>
      </c>
      <c r="G99" s="19">
        <v>38</v>
      </c>
      <c r="H99" s="21">
        <v>144.64</v>
      </c>
      <c r="I99" s="22">
        <v>0.1</v>
      </c>
      <c r="J99" s="19" t="s">
        <v>23</v>
      </c>
      <c r="K99" s="9">
        <f t="shared" si="5"/>
        <v>4946.688</v>
      </c>
      <c r="L99" s="9">
        <f t="shared" si="6"/>
        <v>549.632</v>
      </c>
      <c r="M99" s="10" t="str">
        <f t="shared" si="7"/>
        <v>Large</v>
      </c>
      <c r="N99" s="10" t="str">
        <f t="shared" si="8"/>
        <v>No</v>
      </c>
      <c r="O99" s="9">
        <f t="shared" si="9"/>
        <v>130.176</v>
      </c>
    </row>
    <row r="100" spans="1:15">
      <c r="A100" s="19">
        <v>1099</v>
      </c>
      <c r="B100" s="20">
        <v>45757</v>
      </c>
      <c r="C100" s="19" t="s">
        <v>20</v>
      </c>
      <c r="D100" s="19" t="s">
        <v>16</v>
      </c>
      <c r="E100" s="19" t="s">
        <v>38</v>
      </c>
      <c r="F100" s="19" t="s">
        <v>18</v>
      </c>
      <c r="G100" s="19">
        <v>12</v>
      </c>
      <c r="H100" s="21">
        <v>210.41</v>
      </c>
      <c r="I100" s="22">
        <v>0</v>
      </c>
      <c r="J100" s="19" t="s">
        <v>30</v>
      </c>
      <c r="K100" s="9">
        <f t="shared" si="5"/>
        <v>2524.92</v>
      </c>
      <c r="L100" s="9">
        <f t="shared" si="6"/>
        <v>0</v>
      </c>
      <c r="M100" s="10" t="str">
        <f t="shared" si="7"/>
        <v>Medium</v>
      </c>
      <c r="N100" s="10" t="str">
        <f t="shared" si="8"/>
        <v>Yes</v>
      </c>
      <c r="O100" s="9">
        <f t="shared" si="9"/>
        <v>210.41</v>
      </c>
    </row>
    <row r="101" spans="1:15">
      <c r="A101" s="19">
        <v>1100</v>
      </c>
      <c r="B101" s="20">
        <v>45681</v>
      </c>
      <c r="C101" s="19" t="s">
        <v>26</v>
      </c>
      <c r="D101" s="19" t="s">
        <v>21</v>
      </c>
      <c r="E101" s="19" t="s">
        <v>35</v>
      </c>
      <c r="F101" s="19" t="s">
        <v>18</v>
      </c>
      <c r="G101" s="19">
        <v>9</v>
      </c>
      <c r="H101" s="21">
        <v>857.26</v>
      </c>
      <c r="I101" s="22">
        <v>0.15</v>
      </c>
      <c r="J101" s="19" t="s">
        <v>23</v>
      </c>
      <c r="K101" s="9">
        <f t="shared" si="5"/>
        <v>6558.039</v>
      </c>
      <c r="L101" s="9">
        <f t="shared" si="6"/>
        <v>1157.301</v>
      </c>
      <c r="M101" s="10" t="str">
        <f t="shared" si="7"/>
        <v>Small</v>
      </c>
      <c r="N101" s="10" t="str">
        <f t="shared" si="8"/>
        <v>No</v>
      </c>
      <c r="O101" s="9">
        <f t="shared" si="9"/>
        <v>728.671</v>
      </c>
    </row>
    <row r="102" spans="1:15">
      <c r="A102" s="19">
        <v>1101</v>
      </c>
      <c r="B102" s="20">
        <v>45951</v>
      </c>
      <c r="C102" s="19" t="s">
        <v>15</v>
      </c>
      <c r="D102" s="19" t="s">
        <v>39</v>
      </c>
      <c r="E102" s="19" t="s">
        <v>38</v>
      </c>
      <c r="F102" s="19" t="s">
        <v>18</v>
      </c>
      <c r="G102" s="19">
        <v>29</v>
      </c>
      <c r="H102" s="21">
        <v>218.92</v>
      </c>
      <c r="I102" s="22">
        <v>0</v>
      </c>
      <c r="J102" s="19" t="s">
        <v>30</v>
      </c>
      <c r="K102" s="9">
        <f t="shared" si="5"/>
        <v>6348.68</v>
      </c>
      <c r="L102" s="9">
        <f t="shared" si="6"/>
        <v>0</v>
      </c>
      <c r="M102" s="10" t="str">
        <f t="shared" si="7"/>
        <v>Large</v>
      </c>
      <c r="N102" s="10" t="str">
        <f t="shared" si="8"/>
        <v>Yes</v>
      </c>
      <c r="O102" s="9">
        <f t="shared" si="9"/>
        <v>218.92</v>
      </c>
    </row>
    <row r="103" spans="1:15">
      <c r="A103" s="19">
        <v>1102</v>
      </c>
      <c r="B103" s="20">
        <v>45902</v>
      </c>
      <c r="C103" s="19" t="s">
        <v>20</v>
      </c>
      <c r="D103" s="19" t="s">
        <v>39</v>
      </c>
      <c r="E103" s="19" t="s">
        <v>17</v>
      </c>
      <c r="F103" s="19" t="s">
        <v>18</v>
      </c>
      <c r="G103" s="19">
        <v>26</v>
      </c>
      <c r="H103" s="21">
        <v>26.29</v>
      </c>
      <c r="I103" s="22">
        <v>0.05</v>
      </c>
      <c r="J103" s="19" t="s">
        <v>23</v>
      </c>
      <c r="K103" s="9">
        <f t="shared" si="5"/>
        <v>649.363</v>
      </c>
      <c r="L103" s="9">
        <f t="shared" si="6"/>
        <v>34.177</v>
      </c>
      <c r="M103" s="10" t="str">
        <f t="shared" si="7"/>
        <v>Large</v>
      </c>
      <c r="N103" s="10" t="str">
        <f t="shared" si="8"/>
        <v>No</v>
      </c>
      <c r="O103" s="9">
        <f t="shared" si="9"/>
        <v>24.9755</v>
      </c>
    </row>
    <row r="104" spans="1:15">
      <c r="A104" s="19">
        <v>1103</v>
      </c>
      <c r="B104" s="20">
        <v>45734</v>
      </c>
      <c r="C104" s="19" t="s">
        <v>20</v>
      </c>
      <c r="D104" s="19" t="s">
        <v>25</v>
      </c>
      <c r="E104" s="19" t="s">
        <v>28</v>
      </c>
      <c r="F104" s="19" t="s">
        <v>29</v>
      </c>
      <c r="G104" s="19">
        <v>6</v>
      </c>
      <c r="H104" s="21">
        <v>37.52</v>
      </c>
      <c r="I104" s="22">
        <v>0</v>
      </c>
      <c r="J104" s="19" t="s">
        <v>19</v>
      </c>
      <c r="K104" s="9">
        <f t="shared" si="5"/>
        <v>225.12</v>
      </c>
      <c r="L104" s="9">
        <f t="shared" si="6"/>
        <v>0</v>
      </c>
      <c r="M104" s="10" t="str">
        <f t="shared" si="7"/>
        <v>Small</v>
      </c>
      <c r="N104" s="10" t="str">
        <f t="shared" si="8"/>
        <v>No</v>
      </c>
      <c r="O104" s="9">
        <f t="shared" si="9"/>
        <v>37.52</v>
      </c>
    </row>
    <row r="105" spans="1:15">
      <c r="A105" s="19">
        <v>1104</v>
      </c>
      <c r="B105" s="20">
        <v>45963</v>
      </c>
      <c r="C105" s="19" t="s">
        <v>26</v>
      </c>
      <c r="D105" s="19" t="s">
        <v>42</v>
      </c>
      <c r="E105" s="19" t="s">
        <v>28</v>
      </c>
      <c r="F105" s="19" t="s">
        <v>29</v>
      </c>
      <c r="G105" s="19">
        <v>34</v>
      </c>
      <c r="H105" s="21">
        <v>33.46</v>
      </c>
      <c r="I105" s="22">
        <v>0.05</v>
      </c>
      <c r="J105" s="19" t="s">
        <v>30</v>
      </c>
      <c r="K105" s="9">
        <f t="shared" si="5"/>
        <v>1080.758</v>
      </c>
      <c r="L105" s="9">
        <f t="shared" si="6"/>
        <v>56.882</v>
      </c>
      <c r="M105" s="10" t="str">
        <f t="shared" si="7"/>
        <v>Large</v>
      </c>
      <c r="N105" s="10" t="str">
        <f t="shared" si="8"/>
        <v>No</v>
      </c>
      <c r="O105" s="9">
        <f t="shared" si="9"/>
        <v>31.787</v>
      </c>
    </row>
    <row r="106" spans="1:15">
      <c r="A106" s="19">
        <v>1105</v>
      </c>
      <c r="B106" s="20">
        <v>45959</v>
      </c>
      <c r="C106" s="19" t="s">
        <v>24</v>
      </c>
      <c r="D106" s="19" t="s">
        <v>21</v>
      </c>
      <c r="E106" s="19" t="s">
        <v>40</v>
      </c>
      <c r="F106" s="19" t="s">
        <v>33</v>
      </c>
      <c r="G106" s="19">
        <v>40</v>
      </c>
      <c r="H106" s="21">
        <v>11.63</v>
      </c>
      <c r="I106" s="22">
        <v>0</v>
      </c>
      <c r="J106" s="19" t="s">
        <v>23</v>
      </c>
      <c r="K106" s="9">
        <f t="shared" si="5"/>
        <v>465.2</v>
      </c>
      <c r="L106" s="9">
        <f t="shared" si="6"/>
        <v>0</v>
      </c>
      <c r="M106" s="10" t="str">
        <f t="shared" si="7"/>
        <v>Large</v>
      </c>
      <c r="N106" s="10" t="str">
        <f t="shared" si="8"/>
        <v>No</v>
      </c>
      <c r="O106" s="9">
        <f t="shared" si="9"/>
        <v>11.63</v>
      </c>
    </row>
    <row r="107" spans="1:15">
      <c r="A107" s="19">
        <v>1106</v>
      </c>
      <c r="B107" s="20">
        <v>45978</v>
      </c>
      <c r="C107" s="19" t="s">
        <v>15</v>
      </c>
      <c r="D107" s="19" t="s">
        <v>16</v>
      </c>
      <c r="E107" s="19" t="s">
        <v>31</v>
      </c>
      <c r="F107" s="19" t="s">
        <v>29</v>
      </c>
      <c r="G107" s="19">
        <v>6</v>
      </c>
      <c r="H107" s="21">
        <v>404.18</v>
      </c>
      <c r="I107" s="22">
        <v>0</v>
      </c>
      <c r="J107" s="19" t="s">
        <v>19</v>
      </c>
      <c r="K107" s="9">
        <f t="shared" si="5"/>
        <v>2425.08</v>
      </c>
      <c r="L107" s="9">
        <f t="shared" si="6"/>
        <v>0</v>
      </c>
      <c r="M107" s="10" t="str">
        <f t="shared" si="7"/>
        <v>Small</v>
      </c>
      <c r="N107" s="10" t="str">
        <f t="shared" si="8"/>
        <v>No</v>
      </c>
      <c r="O107" s="9">
        <f t="shared" si="9"/>
        <v>404.18</v>
      </c>
    </row>
    <row r="108" spans="1:15">
      <c r="A108" s="19">
        <v>1107</v>
      </c>
      <c r="B108" s="20">
        <v>45696</v>
      </c>
      <c r="C108" s="19" t="s">
        <v>24</v>
      </c>
      <c r="D108" s="19" t="s">
        <v>42</v>
      </c>
      <c r="E108" s="19" t="s">
        <v>41</v>
      </c>
      <c r="F108" s="19" t="s">
        <v>29</v>
      </c>
      <c r="G108" s="19">
        <v>29</v>
      </c>
      <c r="H108" s="21">
        <v>165.68</v>
      </c>
      <c r="I108" s="22">
        <v>0.15</v>
      </c>
      <c r="J108" s="19" t="s">
        <v>30</v>
      </c>
      <c r="K108" s="9">
        <f t="shared" si="5"/>
        <v>4084.012</v>
      </c>
      <c r="L108" s="9">
        <f t="shared" si="6"/>
        <v>720.708</v>
      </c>
      <c r="M108" s="10" t="str">
        <f t="shared" si="7"/>
        <v>Large</v>
      </c>
      <c r="N108" s="10" t="str">
        <f t="shared" si="8"/>
        <v>Yes</v>
      </c>
      <c r="O108" s="9">
        <f t="shared" si="9"/>
        <v>140.828</v>
      </c>
    </row>
    <row r="109" spans="1:15">
      <c r="A109" s="19">
        <v>1108</v>
      </c>
      <c r="B109" s="20">
        <v>45674</v>
      </c>
      <c r="C109" s="19" t="s">
        <v>26</v>
      </c>
      <c r="D109" s="19" t="s">
        <v>21</v>
      </c>
      <c r="E109" s="19" t="s">
        <v>31</v>
      </c>
      <c r="F109" s="19" t="s">
        <v>29</v>
      </c>
      <c r="G109" s="19">
        <v>19</v>
      </c>
      <c r="H109" s="21">
        <v>405.76</v>
      </c>
      <c r="I109" s="22">
        <v>0.15</v>
      </c>
      <c r="J109" s="19" t="s">
        <v>19</v>
      </c>
      <c r="K109" s="9">
        <f t="shared" si="5"/>
        <v>6553.024</v>
      </c>
      <c r="L109" s="9">
        <f t="shared" si="6"/>
        <v>1156.416</v>
      </c>
      <c r="M109" s="10" t="str">
        <f t="shared" si="7"/>
        <v>Medium</v>
      </c>
      <c r="N109" s="10" t="str">
        <f t="shared" si="8"/>
        <v>No</v>
      </c>
      <c r="O109" s="9">
        <f t="shared" si="9"/>
        <v>344.896</v>
      </c>
    </row>
    <row r="110" spans="1:15">
      <c r="A110" s="19">
        <v>1109</v>
      </c>
      <c r="B110" s="20">
        <v>45777</v>
      </c>
      <c r="C110" s="19" t="s">
        <v>15</v>
      </c>
      <c r="D110" s="19" t="s">
        <v>25</v>
      </c>
      <c r="E110" s="19" t="s">
        <v>38</v>
      </c>
      <c r="F110" s="19" t="s">
        <v>18</v>
      </c>
      <c r="G110" s="19">
        <v>38</v>
      </c>
      <c r="H110" s="21">
        <v>230.13</v>
      </c>
      <c r="I110" s="22">
        <v>0.15</v>
      </c>
      <c r="J110" s="19" t="s">
        <v>23</v>
      </c>
      <c r="K110" s="9">
        <f t="shared" si="5"/>
        <v>7433.199</v>
      </c>
      <c r="L110" s="9">
        <f t="shared" si="6"/>
        <v>1311.741</v>
      </c>
      <c r="M110" s="10" t="str">
        <f t="shared" si="7"/>
        <v>Large</v>
      </c>
      <c r="N110" s="10" t="str">
        <f t="shared" si="8"/>
        <v>No</v>
      </c>
      <c r="O110" s="9">
        <f t="shared" si="9"/>
        <v>195.6105</v>
      </c>
    </row>
    <row r="111" spans="1:15">
      <c r="A111" s="19">
        <v>1110</v>
      </c>
      <c r="B111" s="20">
        <v>45936</v>
      </c>
      <c r="C111" s="19" t="s">
        <v>20</v>
      </c>
      <c r="D111" s="19" t="s">
        <v>39</v>
      </c>
      <c r="E111" s="19" t="s">
        <v>31</v>
      </c>
      <c r="F111" s="19" t="s">
        <v>29</v>
      </c>
      <c r="G111" s="19">
        <v>18</v>
      </c>
      <c r="H111" s="21">
        <v>429.92</v>
      </c>
      <c r="I111" s="22">
        <v>0</v>
      </c>
      <c r="J111" s="19" t="s">
        <v>23</v>
      </c>
      <c r="K111" s="9">
        <f t="shared" si="5"/>
        <v>7738.56</v>
      </c>
      <c r="L111" s="9">
        <f t="shared" si="6"/>
        <v>0</v>
      </c>
      <c r="M111" s="10" t="str">
        <f t="shared" si="7"/>
        <v>Medium</v>
      </c>
      <c r="N111" s="10" t="str">
        <f t="shared" si="8"/>
        <v>No</v>
      </c>
      <c r="O111" s="9">
        <f t="shared" si="9"/>
        <v>429.92</v>
      </c>
    </row>
    <row r="112" spans="1:15">
      <c r="A112" s="19">
        <v>1111</v>
      </c>
      <c r="B112" s="20">
        <v>45815</v>
      </c>
      <c r="C112" s="19" t="s">
        <v>26</v>
      </c>
      <c r="D112" s="19" t="s">
        <v>21</v>
      </c>
      <c r="E112" s="19" t="s">
        <v>28</v>
      </c>
      <c r="F112" s="19" t="s">
        <v>29</v>
      </c>
      <c r="G112" s="19">
        <v>37</v>
      </c>
      <c r="H112" s="21">
        <v>36.39</v>
      </c>
      <c r="I112" s="22">
        <v>0</v>
      </c>
      <c r="J112" s="19" t="s">
        <v>30</v>
      </c>
      <c r="K112" s="9">
        <f t="shared" si="5"/>
        <v>1346.43</v>
      </c>
      <c r="L112" s="9">
        <f t="shared" si="6"/>
        <v>0</v>
      </c>
      <c r="M112" s="10" t="str">
        <f t="shared" si="7"/>
        <v>Large</v>
      </c>
      <c r="N112" s="10" t="str">
        <f t="shared" si="8"/>
        <v>No</v>
      </c>
      <c r="O112" s="9">
        <f t="shared" si="9"/>
        <v>36.39</v>
      </c>
    </row>
    <row r="113" spans="1:15">
      <c r="A113" s="19">
        <v>1112</v>
      </c>
      <c r="B113" s="20">
        <v>46010</v>
      </c>
      <c r="C113" s="19" t="s">
        <v>24</v>
      </c>
      <c r="D113" s="19" t="s">
        <v>42</v>
      </c>
      <c r="E113" s="19" t="s">
        <v>38</v>
      </c>
      <c r="F113" s="19" t="s">
        <v>18</v>
      </c>
      <c r="G113" s="19">
        <v>18</v>
      </c>
      <c r="H113" s="21">
        <v>227.03</v>
      </c>
      <c r="I113" s="22">
        <v>0.1</v>
      </c>
      <c r="J113" s="19" t="s">
        <v>30</v>
      </c>
      <c r="K113" s="9">
        <f t="shared" si="5"/>
        <v>3677.886</v>
      </c>
      <c r="L113" s="9">
        <f t="shared" si="6"/>
        <v>408.654</v>
      </c>
      <c r="M113" s="10" t="str">
        <f t="shared" si="7"/>
        <v>Medium</v>
      </c>
      <c r="N113" s="10" t="str">
        <f t="shared" si="8"/>
        <v>Yes</v>
      </c>
      <c r="O113" s="9">
        <f t="shared" si="9"/>
        <v>204.327</v>
      </c>
    </row>
    <row r="114" spans="1:15">
      <c r="A114" s="19">
        <v>1113</v>
      </c>
      <c r="B114" s="20">
        <v>45699</v>
      </c>
      <c r="C114" s="19" t="s">
        <v>36</v>
      </c>
      <c r="D114" s="19" t="s">
        <v>43</v>
      </c>
      <c r="E114" s="19" t="s">
        <v>28</v>
      </c>
      <c r="F114" s="19" t="s">
        <v>29</v>
      </c>
      <c r="G114" s="19">
        <v>28</v>
      </c>
      <c r="H114" s="21">
        <v>32.42</v>
      </c>
      <c r="I114" s="22">
        <v>0.15</v>
      </c>
      <c r="J114" s="19" t="s">
        <v>23</v>
      </c>
      <c r="K114" s="9">
        <f t="shared" si="5"/>
        <v>771.596</v>
      </c>
      <c r="L114" s="9">
        <f t="shared" si="6"/>
        <v>136.164</v>
      </c>
      <c r="M114" s="10" t="str">
        <f t="shared" si="7"/>
        <v>Large</v>
      </c>
      <c r="N114" s="10" t="str">
        <f t="shared" si="8"/>
        <v>No</v>
      </c>
      <c r="O114" s="9">
        <f t="shared" si="9"/>
        <v>27.557</v>
      </c>
    </row>
    <row r="115" spans="1:15">
      <c r="A115" s="19">
        <v>1114</v>
      </c>
      <c r="B115" s="20">
        <v>45704</v>
      </c>
      <c r="C115" s="19" t="s">
        <v>20</v>
      </c>
      <c r="D115" s="19" t="s">
        <v>43</v>
      </c>
      <c r="E115" s="19" t="s">
        <v>31</v>
      </c>
      <c r="F115" s="19" t="s">
        <v>29</v>
      </c>
      <c r="G115" s="19">
        <v>37</v>
      </c>
      <c r="H115" s="21">
        <v>451.04</v>
      </c>
      <c r="I115" s="22">
        <v>0.1</v>
      </c>
      <c r="J115" s="19" t="s">
        <v>19</v>
      </c>
      <c r="K115" s="9">
        <f t="shared" si="5"/>
        <v>15019.632</v>
      </c>
      <c r="L115" s="9">
        <f t="shared" si="6"/>
        <v>1668.848</v>
      </c>
      <c r="M115" s="10" t="str">
        <f t="shared" si="7"/>
        <v>Large</v>
      </c>
      <c r="N115" s="10" t="str">
        <f t="shared" si="8"/>
        <v>No</v>
      </c>
      <c r="O115" s="9">
        <f t="shared" si="9"/>
        <v>405.936</v>
      </c>
    </row>
    <row r="116" spans="1:15">
      <c r="A116" s="19">
        <v>1115</v>
      </c>
      <c r="B116" s="20">
        <v>45678</v>
      </c>
      <c r="C116" s="19" t="s">
        <v>15</v>
      </c>
      <c r="D116" s="19" t="s">
        <v>25</v>
      </c>
      <c r="E116" s="19" t="s">
        <v>41</v>
      </c>
      <c r="F116" s="19" t="s">
        <v>29</v>
      </c>
      <c r="G116" s="19">
        <v>29</v>
      </c>
      <c r="H116" s="21">
        <v>179.15</v>
      </c>
      <c r="I116" s="22">
        <v>0</v>
      </c>
      <c r="J116" s="19" t="s">
        <v>19</v>
      </c>
      <c r="K116" s="9">
        <f t="shared" si="5"/>
        <v>5195.35</v>
      </c>
      <c r="L116" s="9">
        <f t="shared" si="6"/>
        <v>0</v>
      </c>
      <c r="M116" s="10" t="str">
        <f t="shared" si="7"/>
        <v>Large</v>
      </c>
      <c r="N116" s="10" t="str">
        <f t="shared" si="8"/>
        <v>No</v>
      </c>
      <c r="O116" s="9">
        <f t="shared" si="9"/>
        <v>179.15</v>
      </c>
    </row>
    <row r="117" spans="1:15">
      <c r="A117" s="19">
        <v>1116</v>
      </c>
      <c r="B117" s="20">
        <v>45909</v>
      </c>
      <c r="C117" s="19" t="s">
        <v>36</v>
      </c>
      <c r="D117" s="19" t="s">
        <v>21</v>
      </c>
      <c r="E117" s="19" t="s">
        <v>17</v>
      </c>
      <c r="F117" s="19" t="s">
        <v>18</v>
      </c>
      <c r="G117" s="19">
        <v>27</v>
      </c>
      <c r="H117" s="21">
        <v>24.88</v>
      </c>
      <c r="I117" s="22">
        <v>0</v>
      </c>
      <c r="J117" s="19" t="s">
        <v>23</v>
      </c>
      <c r="K117" s="9">
        <f t="shared" si="5"/>
        <v>671.76</v>
      </c>
      <c r="L117" s="9">
        <f t="shared" si="6"/>
        <v>0</v>
      </c>
      <c r="M117" s="10" t="str">
        <f t="shared" si="7"/>
        <v>Large</v>
      </c>
      <c r="N117" s="10" t="str">
        <f t="shared" si="8"/>
        <v>No</v>
      </c>
      <c r="O117" s="9">
        <f t="shared" si="9"/>
        <v>24.88</v>
      </c>
    </row>
    <row r="118" spans="1:15">
      <c r="A118" s="19">
        <v>1117</v>
      </c>
      <c r="B118" s="20">
        <v>45826</v>
      </c>
      <c r="C118" s="19" t="s">
        <v>26</v>
      </c>
      <c r="D118" s="19" t="s">
        <v>39</v>
      </c>
      <c r="E118" s="19" t="s">
        <v>40</v>
      </c>
      <c r="F118" s="19" t="s">
        <v>33</v>
      </c>
      <c r="G118" s="19">
        <v>19</v>
      </c>
      <c r="H118" s="21">
        <v>12.37</v>
      </c>
      <c r="I118" s="22">
        <v>0.15</v>
      </c>
      <c r="J118" s="19" t="s">
        <v>30</v>
      </c>
      <c r="K118" s="9">
        <f t="shared" si="5"/>
        <v>199.7755</v>
      </c>
      <c r="L118" s="9">
        <f t="shared" si="6"/>
        <v>35.2545</v>
      </c>
      <c r="M118" s="10" t="str">
        <f t="shared" si="7"/>
        <v>Medium</v>
      </c>
      <c r="N118" s="10" t="str">
        <f t="shared" si="8"/>
        <v>No</v>
      </c>
      <c r="O118" s="9">
        <f t="shared" si="9"/>
        <v>10.5145</v>
      </c>
    </row>
    <row r="119" spans="1:15">
      <c r="A119" s="19">
        <v>1118</v>
      </c>
      <c r="B119" s="20">
        <v>45703</v>
      </c>
      <c r="C119" s="19" t="s">
        <v>24</v>
      </c>
      <c r="D119" s="19" t="s">
        <v>39</v>
      </c>
      <c r="E119" s="19" t="s">
        <v>32</v>
      </c>
      <c r="F119" s="19" t="s">
        <v>33</v>
      </c>
      <c r="G119" s="19">
        <v>8</v>
      </c>
      <c r="H119" s="21">
        <v>7.68</v>
      </c>
      <c r="I119" s="22">
        <v>0.05</v>
      </c>
      <c r="J119" s="19" t="s">
        <v>19</v>
      </c>
      <c r="K119" s="9">
        <f t="shared" si="5"/>
        <v>58.368</v>
      </c>
      <c r="L119" s="9">
        <f t="shared" si="6"/>
        <v>3.072</v>
      </c>
      <c r="M119" s="10" t="str">
        <f t="shared" si="7"/>
        <v>Small</v>
      </c>
      <c r="N119" s="10" t="str">
        <f t="shared" si="8"/>
        <v>No</v>
      </c>
      <c r="O119" s="9">
        <f t="shared" si="9"/>
        <v>7.296</v>
      </c>
    </row>
    <row r="120" spans="1:15">
      <c r="A120" s="19">
        <v>1119</v>
      </c>
      <c r="B120" s="20">
        <v>45935</v>
      </c>
      <c r="C120" s="19" t="s">
        <v>36</v>
      </c>
      <c r="D120" s="19" t="s">
        <v>42</v>
      </c>
      <c r="E120" s="19" t="s">
        <v>37</v>
      </c>
      <c r="F120" s="19" t="s">
        <v>29</v>
      </c>
      <c r="G120" s="19">
        <v>13</v>
      </c>
      <c r="H120" s="21">
        <v>147.92</v>
      </c>
      <c r="I120" s="22">
        <v>0.1</v>
      </c>
      <c r="J120" s="19" t="s">
        <v>19</v>
      </c>
      <c r="K120" s="9">
        <f t="shared" si="5"/>
        <v>1730.664</v>
      </c>
      <c r="L120" s="9">
        <f t="shared" si="6"/>
        <v>192.296</v>
      </c>
      <c r="M120" s="10" t="str">
        <f t="shared" si="7"/>
        <v>Medium</v>
      </c>
      <c r="N120" s="10" t="str">
        <f t="shared" si="8"/>
        <v>No</v>
      </c>
      <c r="O120" s="9">
        <f t="shared" si="9"/>
        <v>133.128</v>
      </c>
    </row>
    <row r="121" spans="1:15">
      <c r="A121" s="19">
        <v>1120</v>
      </c>
      <c r="B121" s="20">
        <v>45884</v>
      </c>
      <c r="C121" s="19" t="s">
        <v>36</v>
      </c>
      <c r="D121" s="19" t="s">
        <v>42</v>
      </c>
      <c r="E121" s="19" t="s">
        <v>35</v>
      </c>
      <c r="F121" s="19" t="s">
        <v>18</v>
      </c>
      <c r="G121" s="19">
        <v>36</v>
      </c>
      <c r="H121" s="21">
        <v>809.68</v>
      </c>
      <c r="I121" s="22">
        <v>0</v>
      </c>
      <c r="J121" s="19" t="s">
        <v>19</v>
      </c>
      <c r="K121" s="9">
        <f t="shared" si="5"/>
        <v>29148.48</v>
      </c>
      <c r="L121" s="9">
        <f t="shared" si="6"/>
        <v>0</v>
      </c>
      <c r="M121" s="10" t="str">
        <f t="shared" si="7"/>
        <v>Large</v>
      </c>
      <c r="N121" s="10" t="str">
        <f t="shared" si="8"/>
        <v>No</v>
      </c>
      <c r="O121" s="9">
        <f t="shared" si="9"/>
        <v>809.68</v>
      </c>
    </row>
    <row r="122" spans="1:15">
      <c r="A122" s="19">
        <v>1121</v>
      </c>
      <c r="B122" s="20">
        <v>45906</v>
      </c>
      <c r="C122" s="19" t="s">
        <v>15</v>
      </c>
      <c r="D122" s="19" t="s">
        <v>43</v>
      </c>
      <c r="E122" s="19" t="s">
        <v>17</v>
      </c>
      <c r="F122" s="19" t="s">
        <v>18</v>
      </c>
      <c r="G122" s="19">
        <v>39</v>
      </c>
      <c r="H122" s="21">
        <v>23.12</v>
      </c>
      <c r="I122" s="22">
        <v>0</v>
      </c>
      <c r="J122" s="19" t="s">
        <v>19</v>
      </c>
      <c r="K122" s="9">
        <f t="shared" si="5"/>
        <v>901.68</v>
      </c>
      <c r="L122" s="9">
        <f t="shared" si="6"/>
        <v>0</v>
      </c>
      <c r="M122" s="10" t="str">
        <f t="shared" si="7"/>
        <v>Large</v>
      </c>
      <c r="N122" s="10" t="str">
        <f t="shared" si="8"/>
        <v>No</v>
      </c>
      <c r="O122" s="9">
        <f t="shared" si="9"/>
        <v>23.12</v>
      </c>
    </row>
    <row r="123" spans="1:15">
      <c r="A123" s="19">
        <v>1122</v>
      </c>
      <c r="B123" s="20">
        <v>45665</v>
      </c>
      <c r="C123" s="19" t="s">
        <v>26</v>
      </c>
      <c r="D123" s="19" t="s">
        <v>21</v>
      </c>
      <c r="E123" s="19" t="s">
        <v>22</v>
      </c>
      <c r="F123" s="19" t="s">
        <v>18</v>
      </c>
      <c r="G123" s="19">
        <v>15</v>
      </c>
      <c r="H123" s="21">
        <v>59.12</v>
      </c>
      <c r="I123" s="22">
        <v>0</v>
      </c>
      <c r="J123" s="19" t="s">
        <v>19</v>
      </c>
      <c r="K123" s="9">
        <f t="shared" si="5"/>
        <v>886.8</v>
      </c>
      <c r="L123" s="9">
        <f t="shared" si="6"/>
        <v>0</v>
      </c>
      <c r="M123" s="10" t="str">
        <f t="shared" si="7"/>
        <v>Medium</v>
      </c>
      <c r="N123" s="10" t="str">
        <f t="shared" si="8"/>
        <v>No</v>
      </c>
      <c r="O123" s="9">
        <f t="shared" si="9"/>
        <v>59.12</v>
      </c>
    </row>
    <row r="124" spans="1:15">
      <c r="A124" s="19">
        <v>1123</v>
      </c>
      <c r="B124" s="20">
        <v>45736</v>
      </c>
      <c r="C124" s="19" t="s">
        <v>36</v>
      </c>
      <c r="D124" s="19" t="s">
        <v>25</v>
      </c>
      <c r="E124" s="19" t="s">
        <v>37</v>
      </c>
      <c r="F124" s="19" t="s">
        <v>29</v>
      </c>
      <c r="G124" s="19">
        <v>19</v>
      </c>
      <c r="H124" s="21">
        <v>160.38</v>
      </c>
      <c r="I124" s="22">
        <v>0.1</v>
      </c>
      <c r="J124" s="19" t="s">
        <v>30</v>
      </c>
      <c r="K124" s="9">
        <f t="shared" si="5"/>
        <v>2742.498</v>
      </c>
      <c r="L124" s="9">
        <f t="shared" si="6"/>
        <v>304.722</v>
      </c>
      <c r="M124" s="10" t="str">
        <f t="shared" si="7"/>
        <v>Medium</v>
      </c>
      <c r="N124" s="10" t="str">
        <f t="shared" si="8"/>
        <v>Yes</v>
      </c>
      <c r="O124" s="9">
        <f t="shared" si="9"/>
        <v>144.342</v>
      </c>
    </row>
    <row r="125" spans="1:15">
      <c r="A125" s="19">
        <v>1124</v>
      </c>
      <c r="B125" s="20">
        <v>45899</v>
      </c>
      <c r="C125" s="19" t="s">
        <v>15</v>
      </c>
      <c r="D125" s="19" t="s">
        <v>16</v>
      </c>
      <c r="E125" s="19" t="s">
        <v>31</v>
      </c>
      <c r="F125" s="19" t="s">
        <v>29</v>
      </c>
      <c r="G125" s="19">
        <v>10</v>
      </c>
      <c r="H125" s="21">
        <v>417.1</v>
      </c>
      <c r="I125" s="22">
        <v>0.05</v>
      </c>
      <c r="J125" s="19" t="s">
        <v>23</v>
      </c>
      <c r="K125" s="9">
        <f t="shared" si="5"/>
        <v>3962.45</v>
      </c>
      <c r="L125" s="9">
        <f t="shared" si="6"/>
        <v>208.55</v>
      </c>
      <c r="M125" s="10" t="str">
        <f t="shared" si="7"/>
        <v>Medium</v>
      </c>
      <c r="N125" s="10" t="str">
        <f t="shared" si="8"/>
        <v>No</v>
      </c>
      <c r="O125" s="9">
        <f t="shared" si="9"/>
        <v>396.245</v>
      </c>
    </row>
    <row r="126" spans="1:15">
      <c r="A126" s="19">
        <v>1125</v>
      </c>
      <c r="B126" s="20">
        <v>45799</v>
      </c>
      <c r="C126" s="19" t="s">
        <v>20</v>
      </c>
      <c r="D126" s="19" t="s">
        <v>43</v>
      </c>
      <c r="E126" s="19" t="s">
        <v>40</v>
      </c>
      <c r="F126" s="19" t="s">
        <v>33</v>
      </c>
      <c r="G126" s="19">
        <v>33</v>
      </c>
      <c r="H126" s="21">
        <v>11.69</v>
      </c>
      <c r="I126" s="22">
        <v>0</v>
      </c>
      <c r="J126" s="19" t="s">
        <v>19</v>
      </c>
      <c r="K126" s="9">
        <f t="shared" si="5"/>
        <v>385.77</v>
      </c>
      <c r="L126" s="9">
        <f t="shared" si="6"/>
        <v>0</v>
      </c>
      <c r="M126" s="10" t="str">
        <f t="shared" si="7"/>
        <v>Large</v>
      </c>
      <c r="N126" s="10" t="str">
        <f t="shared" si="8"/>
        <v>No</v>
      </c>
      <c r="O126" s="9">
        <f t="shared" si="9"/>
        <v>11.69</v>
      </c>
    </row>
    <row r="127" spans="1:15">
      <c r="A127" s="19">
        <v>1126</v>
      </c>
      <c r="B127" s="20">
        <v>45810</v>
      </c>
      <c r="C127" s="19" t="s">
        <v>26</v>
      </c>
      <c r="D127" s="19" t="s">
        <v>42</v>
      </c>
      <c r="E127" s="19" t="s">
        <v>28</v>
      </c>
      <c r="F127" s="19" t="s">
        <v>29</v>
      </c>
      <c r="G127" s="19">
        <v>32</v>
      </c>
      <c r="H127" s="21">
        <v>35.45</v>
      </c>
      <c r="I127" s="22">
        <v>0</v>
      </c>
      <c r="J127" s="19" t="s">
        <v>30</v>
      </c>
      <c r="K127" s="9">
        <f t="shared" si="5"/>
        <v>1134.4</v>
      </c>
      <c r="L127" s="9">
        <f t="shared" si="6"/>
        <v>0</v>
      </c>
      <c r="M127" s="10" t="str">
        <f t="shared" si="7"/>
        <v>Large</v>
      </c>
      <c r="N127" s="10" t="str">
        <f t="shared" si="8"/>
        <v>No</v>
      </c>
      <c r="O127" s="9">
        <f t="shared" si="9"/>
        <v>35.45</v>
      </c>
    </row>
    <row r="128" spans="1:15">
      <c r="A128" s="19">
        <v>1127</v>
      </c>
      <c r="B128" s="20">
        <v>45828</v>
      </c>
      <c r="C128" s="19" t="s">
        <v>36</v>
      </c>
      <c r="D128" s="19" t="s">
        <v>34</v>
      </c>
      <c r="E128" s="19" t="s">
        <v>22</v>
      </c>
      <c r="F128" s="19" t="s">
        <v>18</v>
      </c>
      <c r="G128" s="19">
        <v>25</v>
      </c>
      <c r="H128" s="21">
        <v>62.52</v>
      </c>
      <c r="I128" s="22">
        <v>0.05</v>
      </c>
      <c r="J128" s="19" t="s">
        <v>19</v>
      </c>
      <c r="K128" s="9">
        <f t="shared" si="5"/>
        <v>1484.85</v>
      </c>
      <c r="L128" s="9">
        <f t="shared" si="6"/>
        <v>78.15</v>
      </c>
      <c r="M128" s="10" t="str">
        <f t="shared" si="7"/>
        <v>Medium</v>
      </c>
      <c r="N128" s="10" t="str">
        <f t="shared" si="8"/>
        <v>No</v>
      </c>
      <c r="O128" s="9">
        <f t="shared" si="9"/>
        <v>59.394</v>
      </c>
    </row>
    <row r="129" spans="1:15">
      <c r="A129" s="19">
        <v>1128</v>
      </c>
      <c r="B129" s="20">
        <v>45780</v>
      </c>
      <c r="C129" s="19" t="s">
        <v>36</v>
      </c>
      <c r="D129" s="19" t="s">
        <v>42</v>
      </c>
      <c r="E129" s="19" t="s">
        <v>28</v>
      </c>
      <c r="F129" s="19" t="s">
        <v>29</v>
      </c>
      <c r="G129" s="19">
        <v>27</v>
      </c>
      <c r="H129" s="21">
        <v>34.34</v>
      </c>
      <c r="I129" s="22">
        <v>0</v>
      </c>
      <c r="J129" s="19" t="s">
        <v>19</v>
      </c>
      <c r="K129" s="9">
        <f t="shared" si="5"/>
        <v>927.18</v>
      </c>
      <c r="L129" s="9">
        <f t="shared" si="6"/>
        <v>0</v>
      </c>
      <c r="M129" s="10" t="str">
        <f t="shared" si="7"/>
        <v>Large</v>
      </c>
      <c r="N129" s="10" t="str">
        <f t="shared" si="8"/>
        <v>No</v>
      </c>
      <c r="O129" s="9">
        <f t="shared" si="9"/>
        <v>34.34</v>
      </c>
    </row>
    <row r="130" spans="1:15">
      <c r="A130" s="19">
        <v>1129</v>
      </c>
      <c r="B130" s="20">
        <v>45853</v>
      </c>
      <c r="C130" s="19" t="s">
        <v>20</v>
      </c>
      <c r="D130" s="19" t="s">
        <v>16</v>
      </c>
      <c r="E130" s="19" t="s">
        <v>40</v>
      </c>
      <c r="F130" s="19" t="s">
        <v>33</v>
      </c>
      <c r="G130" s="19">
        <v>10</v>
      </c>
      <c r="H130" s="21">
        <v>12.94</v>
      </c>
      <c r="I130" s="22">
        <v>0.05</v>
      </c>
      <c r="J130" s="19" t="s">
        <v>19</v>
      </c>
      <c r="K130" s="9">
        <f t="shared" ref="K130:K193" si="10">G130*H130*(1-I130)</f>
        <v>122.93</v>
      </c>
      <c r="L130" s="9">
        <f t="shared" ref="L130:L193" si="11">G130*H130*I130</f>
        <v>6.47</v>
      </c>
      <c r="M130" s="10" t="str">
        <f t="shared" ref="M130:M193" si="12">IF(G130&lt;10,"Small",IF(G130&lt;=25,"Medium","Large"))</f>
        <v>Medium</v>
      </c>
      <c r="N130" s="10" t="str">
        <f t="shared" ref="N130:N193" si="13">IF(AND(K130&gt;2000,J130="Wholesale"),"Yes","No")</f>
        <v>No</v>
      </c>
      <c r="O130" s="9">
        <f t="shared" ref="O130:O193" si="14">IFERROR(K130/G130,"N/A")</f>
        <v>12.293</v>
      </c>
    </row>
    <row r="131" spans="1:15">
      <c r="A131" s="19">
        <v>1130</v>
      </c>
      <c r="B131" s="20">
        <v>45960</v>
      </c>
      <c r="C131" s="19" t="s">
        <v>24</v>
      </c>
      <c r="D131" s="19" t="s">
        <v>42</v>
      </c>
      <c r="E131" s="19" t="s">
        <v>32</v>
      </c>
      <c r="F131" s="19" t="s">
        <v>33</v>
      </c>
      <c r="G131" s="19">
        <v>29</v>
      </c>
      <c r="H131" s="21">
        <v>8.47</v>
      </c>
      <c r="I131" s="22">
        <v>0</v>
      </c>
      <c r="J131" s="19" t="s">
        <v>23</v>
      </c>
      <c r="K131" s="9">
        <f t="shared" si="10"/>
        <v>245.63</v>
      </c>
      <c r="L131" s="9">
        <f t="shared" si="11"/>
        <v>0</v>
      </c>
      <c r="M131" s="10" t="str">
        <f t="shared" si="12"/>
        <v>Large</v>
      </c>
      <c r="N131" s="10" t="str">
        <f t="shared" si="13"/>
        <v>No</v>
      </c>
      <c r="O131" s="9">
        <f t="shared" si="14"/>
        <v>8.47</v>
      </c>
    </row>
    <row r="132" spans="1:15">
      <c r="A132" s="19">
        <v>1131</v>
      </c>
      <c r="B132" s="20">
        <v>45731</v>
      </c>
      <c r="C132" s="19" t="s">
        <v>26</v>
      </c>
      <c r="D132" s="19" t="s">
        <v>43</v>
      </c>
      <c r="E132" s="19" t="s">
        <v>40</v>
      </c>
      <c r="F132" s="19" t="s">
        <v>33</v>
      </c>
      <c r="G132" s="19">
        <v>10</v>
      </c>
      <c r="H132" s="21">
        <v>12.71</v>
      </c>
      <c r="I132" s="22">
        <v>0</v>
      </c>
      <c r="J132" s="19" t="s">
        <v>30</v>
      </c>
      <c r="K132" s="9">
        <f t="shared" si="10"/>
        <v>127.1</v>
      </c>
      <c r="L132" s="9">
        <f t="shared" si="11"/>
        <v>0</v>
      </c>
      <c r="M132" s="10" t="str">
        <f t="shared" si="12"/>
        <v>Medium</v>
      </c>
      <c r="N132" s="10" t="str">
        <f t="shared" si="13"/>
        <v>No</v>
      </c>
      <c r="O132" s="9">
        <f t="shared" si="14"/>
        <v>12.71</v>
      </c>
    </row>
    <row r="133" spans="1:15">
      <c r="A133" s="19">
        <v>1132</v>
      </c>
      <c r="B133" s="20">
        <v>45977</v>
      </c>
      <c r="C133" s="19" t="s">
        <v>24</v>
      </c>
      <c r="D133" s="19" t="s">
        <v>25</v>
      </c>
      <c r="E133" s="19" t="s">
        <v>40</v>
      </c>
      <c r="F133" s="19" t="s">
        <v>33</v>
      </c>
      <c r="G133" s="19">
        <v>22</v>
      </c>
      <c r="H133" s="21">
        <v>12.29</v>
      </c>
      <c r="I133" s="22">
        <v>0.15</v>
      </c>
      <c r="J133" s="19" t="s">
        <v>30</v>
      </c>
      <c r="K133" s="9">
        <f t="shared" si="10"/>
        <v>229.823</v>
      </c>
      <c r="L133" s="9">
        <f t="shared" si="11"/>
        <v>40.557</v>
      </c>
      <c r="M133" s="10" t="str">
        <f t="shared" si="12"/>
        <v>Medium</v>
      </c>
      <c r="N133" s="10" t="str">
        <f t="shared" si="13"/>
        <v>No</v>
      </c>
      <c r="O133" s="9">
        <f t="shared" si="14"/>
        <v>10.4465</v>
      </c>
    </row>
    <row r="134" spans="1:15">
      <c r="A134" s="19">
        <v>1133</v>
      </c>
      <c r="B134" s="20">
        <v>45978</v>
      </c>
      <c r="C134" s="19" t="s">
        <v>20</v>
      </c>
      <c r="D134" s="19" t="s">
        <v>34</v>
      </c>
      <c r="E134" s="19" t="s">
        <v>37</v>
      </c>
      <c r="F134" s="19" t="s">
        <v>29</v>
      </c>
      <c r="G134" s="19">
        <v>3</v>
      </c>
      <c r="H134" s="21">
        <v>158.94</v>
      </c>
      <c r="I134" s="22">
        <v>0.1</v>
      </c>
      <c r="J134" s="19" t="s">
        <v>19</v>
      </c>
      <c r="K134" s="9">
        <f t="shared" si="10"/>
        <v>429.138</v>
      </c>
      <c r="L134" s="9">
        <f t="shared" si="11"/>
        <v>47.682</v>
      </c>
      <c r="M134" s="10" t="str">
        <f t="shared" si="12"/>
        <v>Small</v>
      </c>
      <c r="N134" s="10" t="str">
        <f t="shared" si="13"/>
        <v>No</v>
      </c>
      <c r="O134" s="9">
        <f t="shared" si="14"/>
        <v>143.046</v>
      </c>
    </row>
    <row r="135" spans="1:15">
      <c r="A135" s="19">
        <v>1134</v>
      </c>
      <c r="B135" s="20">
        <v>46008</v>
      </c>
      <c r="C135" s="19" t="s">
        <v>20</v>
      </c>
      <c r="D135" s="19" t="s">
        <v>21</v>
      </c>
      <c r="E135" s="19" t="s">
        <v>38</v>
      </c>
      <c r="F135" s="19" t="s">
        <v>18</v>
      </c>
      <c r="G135" s="19">
        <v>6</v>
      </c>
      <c r="H135" s="21">
        <v>237.51</v>
      </c>
      <c r="I135" s="22">
        <v>0.05</v>
      </c>
      <c r="J135" s="19" t="s">
        <v>30</v>
      </c>
      <c r="K135" s="9">
        <f t="shared" si="10"/>
        <v>1353.807</v>
      </c>
      <c r="L135" s="9">
        <f t="shared" si="11"/>
        <v>71.253</v>
      </c>
      <c r="M135" s="10" t="str">
        <f t="shared" si="12"/>
        <v>Small</v>
      </c>
      <c r="N135" s="10" t="str">
        <f t="shared" si="13"/>
        <v>No</v>
      </c>
      <c r="O135" s="9">
        <f t="shared" si="14"/>
        <v>225.6345</v>
      </c>
    </row>
    <row r="136" spans="1:15">
      <c r="A136" s="19">
        <v>1135</v>
      </c>
      <c r="B136" s="20">
        <v>45743</v>
      </c>
      <c r="C136" s="19" t="s">
        <v>20</v>
      </c>
      <c r="D136" s="19" t="s">
        <v>43</v>
      </c>
      <c r="E136" s="19" t="s">
        <v>38</v>
      </c>
      <c r="F136" s="19" t="s">
        <v>18</v>
      </c>
      <c r="G136" s="19">
        <v>3</v>
      </c>
      <c r="H136" s="21">
        <v>234.2</v>
      </c>
      <c r="I136" s="22">
        <v>0</v>
      </c>
      <c r="J136" s="19" t="s">
        <v>30</v>
      </c>
      <c r="K136" s="9">
        <f t="shared" si="10"/>
        <v>702.6</v>
      </c>
      <c r="L136" s="9">
        <f t="shared" si="11"/>
        <v>0</v>
      </c>
      <c r="M136" s="10" t="str">
        <f t="shared" si="12"/>
        <v>Small</v>
      </c>
      <c r="N136" s="10" t="str">
        <f t="shared" si="13"/>
        <v>No</v>
      </c>
      <c r="O136" s="9">
        <f t="shared" si="14"/>
        <v>234.2</v>
      </c>
    </row>
    <row r="137" spans="1:15">
      <c r="A137" s="19">
        <v>1136</v>
      </c>
      <c r="B137" s="20">
        <v>45849</v>
      </c>
      <c r="C137" s="19" t="s">
        <v>24</v>
      </c>
      <c r="D137" s="19" t="s">
        <v>16</v>
      </c>
      <c r="E137" s="19" t="s">
        <v>40</v>
      </c>
      <c r="F137" s="19" t="s">
        <v>33</v>
      </c>
      <c r="G137" s="19">
        <v>34</v>
      </c>
      <c r="H137" s="21">
        <v>11.32</v>
      </c>
      <c r="I137" s="22">
        <v>0.05</v>
      </c>
      <c r="J137" s="19" t="s">
        <v>23</v>
      </c>
      <c r="K137" s="9">
        <f t="shared" si="10"/>
        <v>365.636</v>
      </c>
      <c r="L137" s="9">
        <f t="shared" si="11"/>
        <v>19.244</v>
      </c>
      <c r="M137" s="10" t="str">
        <f t="shared" si="12"/>
        <v>Large</v>
      </c>
      <c r="N137" s="10" t="str">
        <f t="shared" si="13"/>
        <v>No</v>
      </c>
      <c r="O137" s="9">
        <f t="shared" si="14"/>
        <v>10.754</v>
      </c>
    </row>
    <row r="138" spans="1:15">
      <c r="A138" s="19">
        <v>1137</v>
      </c>
      <c r="B138" s="20">
        <v>45747</v>
      </c>
      <c r="C138" s="19" t="s">
        <v>15</v>
      </c>
      <c r="D138" s="19" t="s">
        <v>42</v>
      </c>
      <c r="E138" s="19" t="s">
        <v>17</v>
      </c>
      <c r="F138" s="19" t="s">
        <v>18</v>
      </c>
      <c r="G138" s="19">
        <v>25</v>
      </c>
      <c r="H138" s="21">
        <v>25.44</v>
      </c>
      <c r="I138" s="22">
        <v>0.1</v>
      </c>
      <c r="J138" s="19" t="s">
        <v>19</v>
      </c>
      <c r="K138" s="9">
        <f t="shared" si="10"/>
        <v>572.4</v>
      </c>
      <c r="L138" s="9">
        <f t="shared" si="11"/>
        <v>63.6</v>
      </c>
      <c r="M138" s="10" t="str">
        <f t="shared" si="12"/>
        <v>Medium</v>
      </c>
      <c r="N138" s="10" t="str">
        <f t="shared" si="13"/>
        <v>No</v>
      </c>
      <c r="O138" s="9">
        <f t="shared" si="14"/>
        <v>22.896</v>
      </c>
    </row>
    <row r="139" spans="1:15">
      <c r="A139" s="19">
        <v>1138</v>
      </c>
      <c r="B139" s="20">
        <v>45731</v>
      </c>
      <c r="C139" s="19" t="s">
        <v>36</v>
      </c>
      <c r="D139" s="19" t="s">
        <v>39</v>
      </c>
      <c r="E139" s="19" t="s">
        <v>31</v>
      </c>
      <c r="F139" s="19" t="s">
        <v>29</v>
      </c>
      <c r="G139" s="19">
        <v>17</v>
      </c>
      <c r="H139" s="21">
        <v>417.39</v>
      </c>
      <c r="I139" s="22">
        <v>0.05</v>
      </c>
      <c r="J139" s="19" t="s">
        <v>30</v>
      </c>
      <c r="K139" s="9">
        <f t="shared" si="10"/>
        <v>6740.8485</v>
      </c>
      <c r="L139" s="9">
        <f t="shared" si="11"/>
        <v>354.7815</v>
      </c>
      <c r="M139" s="10" t="str">
        <f t="shared" si="12"/>
        <v>Medium</v>
      </c>
      <c r="N139" s="10" t="str">
        <f t="shared" si="13"/>
        <v>Yes</v>
      </c>
      <c r="O139" s="9">
        <f t="shared" si="14"/>
        <v>396.5205</v>
      </c>
    </row>
    <row r="140" spans="1:15">
      <c r="A140" s="19">
        <v>1139</v>
      </c>
      <c r="B140" s="20">
        <v>45805</v>
      </c>
      <c r="C140" s="19" t="s">
        <v>24</v>
      </c>
      <c r="D140" s="19" t="s">
        <v>43</v>
      </c>
      <c r="E140" s="19" t="s">
        <v>22</v>
      </c>
      <c r="F140" s="19" t="s">
        <v>18</v>
      </c>
      <c r="G140" s="19">
        <v>29</v>
      </c>
      <c r="H140" s="21">
        <v>56.72</v>
      </c>
      <c r="I140" s="22">
        <v>0</v>
      </c>
      <c r="J140" s="19" t="s">
        <v>19</v>
      </c>
      <c r="K140" s="9">
        <f t="shared" si="10"/>
        <v>1644.88</v>
      </c>
      <c r="L140" s="9">
        <f t="shared" si="11"/>
        <v>0</v>
      </c>
      <c r="M140" s="10" t="str">
        <f t="shared" si="12"/>
        <v>Large</v>
      </c>
      <c r="N140" s="10" t="str">
        <f t="shared" si="13"/>
        <v>No</v>
      </c>
      <c r="O140" s="9">
        <f t="shared" si="14"/>
        <v>56.72</v>
      </c>
    </row>
    <row r="141" spans="1:15">
      <c r="A141" s="19">
        <v>1140</v>
      </c>
      <c r="B141" s="20">
        <v>45875</v>
      </c>
      <c r="C141" s="19" t="s">
        <v>26</v>
      </c>
      <c r="D141" s="19" t="s">
        <v>42</v>
      </c>
      <c r="E141" s="19" t="s">
        <v>38</v>
      </c>
      <c r="F141" s="19" t="s">
        <v>18</v>
      </c>
      <c r="G141" s="19">
        <v>20</v>
      </c>
      <c r="H141" s="21">
        <v>218.48</v>
      </c>
      <c r="I141" s="22">
        <v>0</v>
      </c>
      <c r="J141" s="19" t="s">
        <v>23</v>
      </c>
      <c r="K141" s="9">
        <f t="shared" si="10"/>
        <v>4369.6</v>
      </c>
      <c r="L141" s="9">
        <f t="shared" si="11"/>
        <v>0</v>
      </c>
      <c r="M141" s="10" t="str">
        <f t="shared" si="12"/>
        <v>Medium</v>
      </c>
      <c r="N141" s="10" t="str">
        <f t="shared" si="13"/>
        <v>No</v>
      </c>
      <c r="O141" s="9">
        <f t="shared" si="14"/>
        <v>218.48</v>
      </c>
    </row>
    <row r="142" spans="1:15">
      <c r="A142" s="19">
        <v>1141</v>
      </c>
      <c r="B142" s="20">
        <v>45779</v>
      </c>
      <c r="C142" s="19" t="s">
        <v>36</v>
      </c>
      <c r="D142" s="19" t="s">
        <v>39</v>
      </c>
      <c r="E142" s="19" t="s">
        <v>40</v>
      </c>
      <c r="F142" s="19" t="s">
        <v>33</v>
      </c>
      <c r="G142" s="19">
        <v>37</v>
      </c>
      <c r="H142" s="21">
        <v>12.14</v>
      </c>
      <c r="I142" s="22">
        <v>0</v>
      </c>
      <c r="J142" s="19" t="s">
        <v>19</v>
      </c>
      <c r="K142" s="9">
        <f t="shared" si="10"/>
        <v>449.18</v>
      </c>
      <c r="L142" s="9">
        <f t="shared" si="11"/>
        <v>0</v>
      </c>
      <c r="M142" s="10" t="str">
        <f t="shared" si="12"/>
        <v>Large</v>
      </c>
      <c r="N142" s="10" t="str">
        <f t="shared" si="13"/>
        <v>No</v>
      </c>
      <c r="O142" s="9">
        <f t="shared" si="14"/>
        <v>12.14</v>
      </c>
    </row>
    <row r="143" spans="1:15">
      <c r="A143" s="19">
        <v>1142</v>
      </c>
      <c r="B143" s="20">
        <v>45860</v>
      </c>
      <c r="C143" s="19" t="s">
        <v>26</v>
      </c>
      <c r="D143" s="19" t="s">
        <v>43</v>
      </c>
      <c r="E143" s="19" t="s">
        <v>38</v>
      </c>
      <c r="F143" s="19" t="s">
        <v>18</v>
      </c>
      <c r="G143" s="19">
        <v>4</v>
      </c>
      <c r="H143" s="21">
        <v>202.69</v>
      </c>
      <c r="I143" s="22">
        <v>0.1</v>
      </c>
      <c r="J143" s="19" t="s">
        <v>23</v>
      </c>
      <c r="K143" s="9">
        <f t="shared" si="10"/>
        <v>729.684</v>
      </c>
      <c r="L143" s="9">
        <f t="shared" si="11"/>
        <v>81.076</v>
      </c>
      <c r="M143" s="10" t="str">
        <f t="shared" si="12"/>
        <v>Small</v>
      </c>
      <c r="N143" s="10" t="str">
        <f t="shared" si="13"/>
        <v>No</v>
      </c>
      <c r="O143" s="9">
        <f t="shared" si="14"/>
        <v>182.421</v>
      </c>
    </row>
    <row r="144" spans="1:15">
      <c r="A144" s="19">
        <v>1143</v>
      </c>
      <c r="B144" s="20">
        <v>45968</v>
      </c>
      <c r="C144" s="19" t="s">
        <v>36</v>
      </c>
      <c r="D144" s="19" t="s">
        <v>16</v>
      </c>
      <c r="E144" s="19" t="s">
        <v>32</v>
      </c>
      <c r="F144" s="19" t="s">
        <v>33</v>
      </c>
      <c r="G144" s="19">
        <v>13</v>
      </c>
      <c r="H144" s="21">
        <v>7.64</v>
      </c>
      <c r="I144" s="22">
        <v>0.1</v>
      </c>
      <c r="J144" s="19" t="s">
        <v>19</v>
      </c>
      <c r="K144" s="9">
        <f t="shared" si="10"/>
        <v>89.388</v>
      </c>
      <c r="L144" s="9">
        <f t="shared" si="11"/>
        <v>9.932</v>
      </c>
      <c r="M144" s="10" t="str">
        <f t="shared" si="12"/>
        <v>Medium</v>
      </c>
      <c r="N144" s="10" t="str">
        <f t="shared" si="13"/>
        <v>No</v>
      </c>
      <c r="O144" s="9">
        <f t="shared" si="14"/>
        <v>6.876</v>
      </c>
    </row>
    <row r="145" spans="1:15">
      <c r="A145" s="19">
        <v>1144</v>
      </c>
      <c r="B145" s="20">
        <v>45707</v>
      </c>
      <c r="C145" s="19" t="s">
        <v>24</v>
      </c>
      <c r="D145" s="19" t="s">
        <v>27</v>
      </c>
      <c r="E145" s="19" t="s">
        <v>35</v>
      </c>
      <c r="F145" s="19" t="s">
        <v>18</v>
      </c>
      <c r="G145" s="19">
        <v>29</v>
      </c>
      <c r="H145" s="21">
        <v>824.01</v>
      </c>
      <c r="I145" s="22">
        <v>0</v>
      </c>
      <c r="J145" s="19" t="s">
        <v>19</v>
      </c>
      <c r="K145" s="9">
        <f t="shared" si="10"/>
        <v>23896.29</v>
      </c>
      <c r="L145" s="9">
        <f t="shared" si="11"/>
        <v>0</v>
      </c>
      <c r="M145" s="10" t="str">
        <f t="shared" si="12"/>
        <v>Large</v>
      </c>
      <c r="N145" s="10" t="str">
        <f t="shared" si="13"/>
        <v>No</v>
      </c>
      <c r="O145" s="9">
        <f t="shared" si="14"/>
        <v>824.01</v>
      </c>
    </row>
    <row r="146" spans="1:15">
      <c r="A146" s="19">
        <v>1145</v>
      </c>
      <c r="B146" s="20">
        <v>45725</v>
      </c>
      <c r="C146" s="19" t="s">
        <v>26</v>
      </c>
      <c r="D146" s="19" t="s">
        <v>16</v>
      </c>
      <c r="E146" s="19" t="s">
        <v>17</v>
      </c>
      <c r="F146" s="19" t="s">
        <v>18</v>
      </c>
      <c r="G146" s="19">
        <v>21</v>
      </c>
      <c r="H146" s="21">
        <v>26.64</v>
      </c>
      <c r="I146" s="22">
        <v>0.15</v>
      </c>
      <c r="J146" s="19" t="s">
        <v>23</v>
      </c>
      <c r="K146" s="9">
        <f t="shared" si="10"/>
        <v>475.524</v>
      </c>
      <c r="L146" s="9">
        <f t="shared" si="11"/>
        <v>83.916</v>
      </c>
      <c r="M146" s="10" t="str">
        <f t="shared" si="12"/>
        <v>Medium</v>
      </c>
      <c r="N146" s="10" t="str">
        <f t="shared" si="13"/>
        <v>No</v>
      </c>
      <c r="O146" s="9">
        <f t="shared" si="14"/>
        <v>22.644</v>
      </c>
    </row>
    <row r="147" spans="1:15">
      <c r="A147" s="19">
        <v>1146</v>
      </c>
      <c r="B147" s="20">
        <v>45725</v>
      </c>
      <c r="C147" s="19" t="s">
        <v>24</v>
      </c>
      <c r="D147" s="19" t="s">
        <v>43</v>
      </c>
      <c r="E147" s="19" t="s">
        <v>22</v>
      </c>
      <c r="F147" s="19" t="s">
        <v>18</v>
      </c>
      <c r="G147" s="19">
        <v>24</v>
      </c>
      <c r="H147" s="21">
        <v>63.61</v>
      </c>
      <c r="I147" s="22">
        <v>0.1</v>
      </c>
      <c r="J147" s="19" t="s">
        <v>23</v>
      </c>
      <c r="K147" s="9">
        <f t="shared" si="10"/>
        <v>1373.976</v>
      </c>
      <c r="L147" s="9">
        <f t="shared" si="11"/>
        <v>152.664</v>
      </c>
      <c r="M147" s="10" t="str">
        <f t="shared" si="12"/>
        <v>Medium</v>
      </c>
      <c r="N147" s="10" t="str">
        <f t="shared" si="13"/>
        <v>No</v>
      </c>
      <c r="O147" s="9">
        <f t="shared" si="14"/>
        <v>57.249</v>
      </c>
    </row>
    <row r="148" spans="1:15">
      <c r="A148" s="19">
        <v>1147</v>
      </c>
      <c r="B148" s="20">
        <v>45789</v>
      </c>
      <c r="C148" s="19" t="s">
        <v>36</v>
      </c>
      <c r="D148" s="19" t="s">
        <v>21</v>
      </c>
      <c r="E148" s="19" t="s">
        <v>37</v>
      </c>
      <c r="F148" s="19" t="s">
        <v>29</v>
      </c>
      <c r="G148" s="19">
        <v>19</v>
      </c>
      <c r="H148" s="21">
        <v>161.22</v>
      </c>
      <c r="I148" s="22">
        <v>0.15</v>
      </c>
      <c r="J148" s="19" t="s">
        <v>30</v>
      </c>
      <c r="K148" s="9">
        <f t="shared" si="10"/>
        <v>2603.703</v>
      </c>
      <c r="L148" s="9">
        <f t="shared" si="11"/>
        <v>459.477</v>
      </c>
      <c r="M148" s="10" t="str">
        <f t="shared" si="12"/>
        <v>Medium</v>
      </c>
      <c r="N148" s="10" t="str">
        <f t="shared" si="13"/>
        <v>Yes</v>
      </c>
      <c r="O148" s="9">
        <f t="shared" si="14"/>
        <v>137.037</v>
      </c>
    </row>
    <row r="149" spans="1:15">
      <c r="A149" s="19">
        <v>1148</v>
      </c>
      <c r="B149" s="20">
        <v>45696</v>
      </c>
      <c r="C149" s="19" t="s">
        <v>26</v>
      </c>
      <c r="D149" s="19" t="s">
        <v>27</v>
      </c>
      <c r="E149" s="19" t="s">
        <v>41</v>
      </c>
      <c r="F149" s="19" t="s">
        <v>29</v>
      </c>
      <c r="G149" s="19">
        <v>15</v>
      </c>
      <c r="H149" s="21">
        <v>187.32</v>
      </c>
      <c r="I149" s="22">
        <v>0.15</v>
      </c>
      <c r="J149" s="19" t="s">
        <v>23</v>
      </c>
      <c r="K149" s="9">
        <f t="shared" si="10"/>
        <v>2388.33</v>
      </c>
      <c r="L149" s="9">
        <f t="shared" si="11"/>
        <v>421.47</v>
      </c>
      <c r="M149" s="10" t="str">
        <f t="shared" si="12"/>
        <v>Medium</v>
      </c>
      <c r="N149" s="10" t="str">
        <f t="shared" si="13"/>
        <v>No</v>
      </c>
      <c r="O149" s="9">
        <f t="shared" si="14"/>
        <v>159.222</v>
      </c>
    </row>
    <row r="150" spans="1:15">
      <c r="A150" s="19">
        <v>1149</v>
      </c>
      <c r="B150" s="20">
        <v>45860</v>
      </c>
      <c r="C150" s="19" t="s">
        <v>36</v>
      </c>
      <c r="D150" s="19" t="s">
        <v>43</v>
      </c>
      <c r="E150" s="19" t="s">
        <v>35</v>
      </c>
      <c r="F150" s="19" t="s">
        <v>18</v>
      </c>
      <c r="G150" s="19">
        <v>8</v>
      </c>
      <c r="H150" s="21">
        <v>817.97</v>
      </c>
      <c r="I150" s="22">
        <v>0.05</v>
      </c>
      <c r="J150" s="19" t="s">
        <v>19</v>
      </c>
      <c r="K150" s="9">
        <f t="shared" si="10"/>
        <v>6216.572</v>
      </c>
      <c r="L150" s="9">
        <f t="shared" si="11"/>
        <v>327.188</v>
      </c>
      <c r="M150" s="10" t="str">
        <f t="shared" si="12"/>
        <v>Small</v>
      </c>
      <c r="N150" s="10" t="str">
        <f t="shared" si="13"/>
        <v>No</v>
      </c>
      <c r="O150" s="9">
        <f t="shared" si="14"/>
        <v>777.0715</v>
      </c>
    </row>
    <row r="151" spans="1:15">
      <c r="A151" s="19">
        <v>1150</v>
      </c>
      <c r="B151" s="20">
        <v>45853</v>
      </c>
      <c r="C151" s="19" t="s">
        <v>20</v>
      </c>
      <c r="D151" s="19" t="s">
        <v>27</v>
      </c>
      <c r="E151" s="19" t="s">
        <v>32</v>
      </c>
      <c r="F151" s="19" t="s">
        <v>33</v>
      </c>
      <c r="G151" s="19">
        <v>15</v>
      </c>
      <c r="H151" s="21">
        <v>7.5</v>
      </c>
      <c r="I151" s="22">
        <v>0.05</v>
      </c>
      <c r="J151" s="19" t="s">
        <v>19</v>
      </c>
      <c r="K151" s="9">
        <f t="shared" si="10"/>
        <v>106.875</v>
      </c>
      <c r="L151" s="9">
        <f t="shared" si="11"/>
        <v>5.625</v>
      </c>
      <c r="M151" s="10" t="str">
        <f t="shared" si="12"/>
        <v>Medium</v>
      </c>
      <c r="N151" s="10" t="str">
        <f t="shared" si="13"/>
        <v>No</v>
      </c>
      <c r="O151" s="9">
        <f t="shared" si="14"/>
        <v>7.125</v>
      </c>
    </row>
    <row r="152" spans="1:15">
      <c r="A152" s="19">
        <v>1151</v>
      </c>
      <c r="B152" s="20">
        <v>45771</v>
      </c>
      <c r="C152" s="19" t="s">
        <v>36</v>
      </c>
      <c r="D152" s="19" t="s">
        <v>25</v>
      </c>
      <c r="E152" s="19" t="s">
        <v>17</v>
      </c>
      <c r="F152" s="19" t="s">
        <v>18</v>
      </c>
      <c r="G152" s="19">
        <v>30</v>
      </c>
      <c r="H152" s="21">
        <v>25.54</v>
      </c>
      <c r="I152" s="22">
        <v>0.15</v>
      </c>
      <c r="J152" s="19" t="s">
        <v>23</v>
      </c>
      <c r="K152" s="9">
        <f t="shared" si="10"/>
        <v>651.27</v>
      </c>
      <c r="L152" s="9">
        <f t="shared" si="11"/>
        <v>114.93</v>
      </c>
      <c r="M152" s="10" t="str">
        <f t="shared" si="12"/>
        <v>Large</v>
      </c>
      <c r="N152" s="10" t="str">
        <f t="shared" si="13"/>
        <v>No</v>
      </c>
      <c r="O152" s="9">
        <f t="shared" si="14"/>
        <v>21.709</v>
      </c>
    </row>
    <row r="153" spans="1:15">
      <c r="A153" s="19">
        <v>1152</v>
      </c>
      <c r="B153" s="20">
        <v>45729</v>
      </c>
      <c r="C153" s="19" t="s">
        <v>20</v>
      </c>
      <c r="D153" s="19" t="s">
        <v>21</v>
      </c>
      <c r="E153" s="19" t="s">
        <v>35</v>
      </c>
      <c r="F153" s="19" t="s">
        <v>18</v>
      </c>
      <c r="G153" s="19">
        <v>20</v>
      </c>
      <c r="H153" s="21">
        <v>910.69</v>
      </c>
      <c r="I153" s="22">
        <v>0.05</v>
      </c>
      <c r="J153" s="19" t="s">
        <v>23</v>
      </c>
      <c r="K153" s="9">
        <f t="shared" si="10"/>
        <v>17303.11</v>
      </c>
      <c r="L153" s="9">
        <f t="shared" si="11"/>
        <v>910.69</v>
      </c>
      <c r="M153" s="10" t="str">
        <f t="shared" si="12"/>
        <v>Medium</v>
      </c>
      <c r="N153" s="10" t="str">
        <f t="shared" si="13"/>
        <v>No</v>
      </c>
      <c r="O153" s="9">
        <f t="shared" si="14"/>
        <v>865.1555</v>
      </c>
    </row>
    <row r="154" spans="1:15">
      <c r="A154" s="19">
        <v>1153</v>
      </c>
      <c r="B154" s="20">
        <v>45933</v>
      </c>
      <c r="C154" s="19" t="s">
        <v>24</v>
      </c>
      <c r="D154" s="19" t="s">
        <v>25</v>
      </c>
      <c r="E154" s="19" t="s">
        <v>41</v>
      </c>
      <c r="F154" s="19" t="s">
        <v>29</v>
      </c>
      <c r="G154" s="19">
        <v>24</v>
      </c>
      <c r="H154" s="21">
        <v>176.79</v>
      </c>
      <c r="I154" s="22">
        <v>0.15</v>
      </c>
      <c r="J154" s="19" t="s">
        <v>19</v>
      </c>
      <c r="K154" s="9">
        <f t="shared" si="10"/>
        <v>3606.516</v>
      </c>
      <c r="L154" s="9">
        <f t="shared" si="11"/>
        <v>636.444</v>
      </c>
      <c r="M154" s="10" t="str">
        <f t="shared" si="12"/>
        <v>Medium</v>
      </c>
      <c r="N154" s="10" t="str">
        <f t="shared" si="13"/>
        <v>No</v>
      </c>
      <c r="O154" s="9">
        <f t="shared" si="14"/>
        <v>150.2715</v>
      </c>
    </row>
    <row r="155" spans="1:15">
      <c r="A155" s="19">
        <v>1154</v>
      </c>
      <c r="B155" s="20">
        <v>45737</v>
      </c>
      <c r="C155" s="19" t="s">
        <v>26</v>
      </c>
      <c r="D155" s="19" t="s">
        <v>43</v>
      </c>
      <c r="E155" s="19" t="s">
        <v>40</v>
      </c>
      <c r="F155" s="19" t="s">
        <v>33</v>
      </c>
      <c r="G155" s="19">
        <v>32</v>
      </c>
      <c r="H155" s="21">
        <v>12.3</v>
      </c>
      <c r="I155" s="22">
        <v>0.1</v>
      </c>
      <c r="J155" s="19" t="s">
        <v>23</v>
      </c>
      <c r="K155" s="9">
        <f t="shared" si="10"/>
        <v>354.24</v>
      </c>
      <c r="L155" s="9">
        <f t="shared" si="11"/>
        <v>39.36</v>
      </c>
      <c r="M155" s="10" t="str">
        <f t="shared" si="12"/>
        <v>Large</v>
      </c>
      <c r="N155" s="10" t="str">
        <f t="shared" si="13"/>
        <v>No</v>
      </c>
      <c r="O155" s="9">
        <f t="shared" si="14"/>
        <v>11.07</v>
      </c>
    </row>
    <row r="156" spans="1:15">
      <c r="A156" s="19">
        <v>1155</v>
      </c>
      <c r="B156" s="20">
        <v>46011</v>
      </c>
      <c r="C156" s="19" t="s">
        <v>36</v>
      </c>
      <c r="D156" s="19" t="s">
        <v>21</v>
      </c>
      <c r="E156" s="19" t="s">
        <v>32</v>
      </c>
      <c r="F156" s="19" t="s">
        <v>33</v>
      </c>
      <c r="G156" s="19">
        <v>29</v>
      </c>
      <c r="H156" s="21">
        <v>7.64</v>
      </c>
      <c r="I156" s="22">
        <v>0</v>
      </c>
      <c r="J156" s="19" t="s">
        <v>19</v>
      </c>
      <c r="K156" s="9">
        <f t="shared" si="10"/>
        <v>221.56</v>
      </c>
      <c r="L156" s="9">
        <f t="shared" si="11"/>
        <v>0</v>
      </c>
      <c r="M156" s="10" t="str">
        <f t="shared" si="12"/>
        <v>Large</v>
      </c>
      <c r="N156" s="10" t="str">
        <f t="shared" si="13"/>
        <v>No</v>
      </c>
      <c r="O156" s="9">
        <f t="shared" si="14"/>
        <v>7.64</v>
      </c>
    </row>
    <row r="157" spans="1:15">
      <c r="A157" s="19">
        <v>1156</v>
      </c>
      <c r="B157" s="20">
        <v>45846</v>
      </c>
      <c r="C157" s="19" t="s">
        <v>26</v>
      </c>
      <c r="D157" s="19" t="s">
        <v>43</v>
      </c>
      <c r="E157" s="19" t="s">
        <v>22</v>
      </c>
      <c r="F157" s="19" t="s">
        <v>18</v>
      </c>
      <c r="G157" s="19">
        <v>23</v>
      </c>
      <c r="H157" s="21">
        <v>63.86</v>
      </c>
      <c r="I157" s="22">
        <v>0</v>
      </c>
      <c r="J157" s="19" t="s">
        <v>23</v>
      </c>
      <c r="K157" s="9">
        <f t="shared" si="10"/>
        <v>1468.78</v>
      </c>
      <c r="L157" s="9">
        <f t="shared" si="11"/>
        <v>0</v>
      </c>
      <c r="M157" s="10" t="str">
        <f t="shared" si="12"/>
        <v>Medium</v>
      </c>
      <c r="N157" s="10" t="str">
        <f t="shared" si="13"/>
        <v>No</v>
      </c>
      <c r="O157" s="9">
        <f t="shared" si="14"/>
        <v>63.86</v>
      </c>
    </row>
    <row r="158" spans="1:15">
      <c r="A158" s="19">
        <v>1157</v>
      </c>
      <c r="B158" s="20">
        <v>45720</v>
      </c>
      <c r="C158" s="19" t="s">
        <v>24</v>
      </c>
      <c r="D158" s="19" t="s">
        <v>39</v>
      </c>
      <c r="E158" s="19" t="s">
        <v>37</v>
      </c>
      <c r="F158" s="19" t="s">
        <v>29</v>
      </c>
      <c r="G158" s="19">
        <v>14</v>
      </c>
      <c r="H158" s="21">
        <v>140.2</v>
      </c>
      <c r="I158" s="22">
        <v>0.15</v>
      </c>
      <c r="J158" s="19" t="s">
        <v>23</v>
      </c>
      <c r="K158" s="9">
        <f t="shared" si="10"/>
        <v>1668.38</v>
      </c>
      <c r="L158" s="9">
        <f t="shared" si="11"/>
        <v>294.42</v>
      </c>
      <c r="M158" s="10" t="str">
        <f t="shared" si="12"/>
        <v>Medium</v>
      </c>
      <c r="N158" s="10" t="str">
        <f t="shared" si="13"/>
        <v>No</v>
      </c>
      <c r="O158" s="9">
        <f t="shared" si="14"/>
        <v>119.17</v>
      </c>
    </row>
    <row r="159" spans="1:15">
      <c r="A159" s="19">
        <v>1158</v>
      </c>
      <c r="B159" s="20">
        <v>45828</v>
      </c>
      <c r="C159" s="19" t="s">
        <v>20</v>
      </c>
      <c r="D159" s="19" t="s">
        <v>34</v>
      </c>
      <c r="E159" s="19" t="s">
        <v>31</v>
      </c>
      <c r="F159" s="19" t="s">
        <v>29</v>
      </c>
      <c r="G159" s="19">
        <v>37</v>
      </c>
      <c r="H159" s="21">
        <v>452.85</v>
      </c>
      <c r="I159" s="22">
        <v>0</v>
      </c>
      <c r="J159" s="19" t="s">
        <v>19</v>
      </c>
      <c r="K159" s="9">
        <f t="shared" si="10"/>
        <v>16755.45</v>
      </c>
      <c r="L159" s="9">
        <f t="shared" si="11"/>
        <v>0</v>
      </c>
      <c r="M159" s="10" t="str">
        <f t="shared" si="12"/>
        <v>Large</v>
      </c>
      <c r="N159" s="10" t="str">
        <f t="shared" si="13"/>
        <v>No</v>
      </c>
      <c r="O159" s="9">
        <f t="shared" si="14"/>
        <v>452.85</v>
      </c>
    </row>
    <row r="160" spans="1:15">
      <c r="A160" s="19">
        <v>1159</v>
      </c>
      <c r="B160" s="20">
        <v>45768</v>
      </c>
      <c r="C160" s="19" t="s">
        <v>20</v>
      </c>
      <c r="D160" s="19" t="s">
        <v>43</v>
      </c>
      <c r="E160" s="19" t="s">
        <v>31</v>
      </c>
      <c r="F160" s="19" t="s">
        <v>29</v>
      </c>
      <c r="G160" s="19">
        <v>10</v>
      </c>
      <c r="H160" s="21">
        <v>408.48</v>
      </c>
      <c r="I160" s="22">
        <v>0.1</v>
      </c>
      <c r="J160" s="19" t="s">
        <v>23</v>
      </c>
      <c r="K160" s="9">
        <f t="shared" si="10"/>
        <v>3676.32</v>
      </c>
      <c r="L160" s="9">
        <f t="shared" si="11"/>
        <v>408.48</v>
      </c>
      <c r="M160" s="10" t="str">
        <f t="shared" si="12"/>
        <v>Medium</v>
      </c>
      <c r="N160" s="10" t="str">
        <f t="shared" si="13"/>
        <v>No</v>
      </c>
      <c r="O160" s="9">
        <f t="shared" si="14"/>
        <v>367.632</v>
      </c>
    </row>
    <row r="161" spans="1:15">
      <c r="A161" s="19">
        <v>1160</v>
      </c>
      <c r="B161" s="20">
        <v>45724</v>
      </c>
      <c r="C161" s="19" t="s">
        <v>20</v>
      </c>
      <c r="D161" s="19" t="s">
        <v>16</v>
      </c>
      <c r="E161" s="19" t="s">
        <v>22</v>
      </c>
      <c r="F161" s="19" t="s">
        <v>18</v>
      </c>
      <c r="G161" s="19">
        <v>12</v>
      </c>
      <c r="H161" s="21">
        <v>57.61</v>
      </c>
      <c r="I161" s="22">
        <v>0</v>
      </c>
      <c r="J161" s="19" t="s">
        <v>23</v>
      </c>
      <c r="K161" s="9">
        <f t="shared" si="10"/>
        <v>691.32</v>
      </c>
      <c r="L161" s="9">
        <f t="shared" si="11"/>
        <v>0</v>
      </c>
      <c r="M161" s="10" t="str">
        <f t="shared" si="12"/>
        <v>Medium</v>
      </c>
      <c r="N161" s="10" t="str">
        <f t="shared" si="13"/>
        <v>No</v>
      </c>
      <c r="O161" s="9">
        <f t="shared" si="14"/>
        <v>57.61</v>
      </c>
    </row>
    <row r="162" spans="1:15">
      <c r="A162" s="19">
        <v>1161</v>
      </c>
      <c r="B162" s="20">
        <v>45841</v>
      </c>
      <c r="C162" s="19" t="s">
        <v>36</v>
      </c>
      <c r="D162" s="19" t="s">
        <v>39</v>
      </c>
      <c r="E162" s="19" t="s">
        <v>31</v>
      </c>
      <c r="F162" s="19" t="s">
        <v>29</v>
      </c>
      <c r="G162" s="19">
        <v>2</v>
      </c>
      <c r="H162" s="21">
        <v>425.97</v>
      </c>
      <c r="I162" s="22">
        <v>0</v>
      </c>
      <c r="J162" s="19" t="s">
        <v>23</v>
      </c>
      <c r="K162" s="9">
        <f t="shared" si="10"/>
        <v>851.94</v>
      </c>
      <c r="L162" s="9">
        <f t="shared" si="11"/>
        <v>0</v>
      </c>
      <c r="M162" s="10" t="str">
        <f t="shared" si="12"/>
        <v>Small</v>
      </c>
      <c r="N162" s="10" t="str">
        <f t="shared" si="13"/>
        <v>No</v>
      </c>
      <c r="O162" s="9">
        <f t="shared" si="14"/>
        <v>425.97</v>
      </c>
    </row>
    <row r="163" spans="1:15">
      <c r="A163" s="19">
        <v>1162</v>
      </c>
      <c r="B163" s="20">
        <v>45873</v>
      </c>
      <c r="C163" s="19" t="s">
        <v>26</v>
      </c>
      <c r="D163" s="19" t="s">
        <v>27</v>
      </c>
      <c r="E163" s="19" t="s">
        <v>22</v>
      </c>
      <c r="F163" s="19" t="s">
        <v>18</v>
      </c>
      <c r="G163" s="19">
        <v>5</v>
      </c>
      <c r="H163" s="21">
        <v>56.29</v>
      </c>
      <c r="I163" s="22">
        <v>0.05</v>
      </c>
      <c r="J163" s="19" t="s">
        <v>19</v>
      </c>
      <c r="K163" s="9">
        <f t="shared" si="10"/>
        <v>267.3775</v>
      </c>
      <c r="L163" s="9">
        <f t="shared" si="11"/>
        <v>14.0725</v>
      </c>
      <c r="M163" s="10" t="str">
        <f t="shared" si="12"/>
        <v>Small</v>
      </c>
      <c r="N163" s="10" t="str">
        <f t="shared" si="13"/>
        <v>No</v>
      </c>
      <c r="O163" s="9">
        <f t="shared" si="14"/>
        <v>53.4755</v>
      </c>
    </row>
    <row r="164" spans="1:15">
      <c r="A164" s="19">
        <v>1163</v>
      </c>
      <c r="B164" s="20">
        <v>45961</v>
      </c>
      <c r="C164" s="19" t="s">
        <v>20</v>
      </c>
      <c r="D164" s="19" t="s">
        <v>43</v>
      </c>
      <c r="E164" s="19" t="s">
        <v>17</v>
      </c>
      <c r="F164" s="19" t="s">
        <v>18</v>
      </c>
      <c r="G164" s="19">
        <v>15</v>
      </c>
      <c r="H164" s="21">
        <v>24.81</v>
      </c>
      <c r="I164" s="22">
        <v>0.1</v>
      </c>
      <c r="J164" s="19" t="s">
        <v>30</v>
      </c>
      <c r="K164" s="9">
        <f t="shared" si="10"/>
        <v>334.935</v>
      </c>
      <c r="L164" s="9">
        <f t="shared" si="11"/>
        <v>37.215</v>
      </c>
      <c r="M164" s="10" t="str">
        <f t="shared" si="12"/>
        <v>Medium</v>
      </c>
      <c r="N164" s="10" t="str">
        <f t="shared" si="13"/>
        <v>No</v>
      </c>
      <c r="O164" s="9">
        <f t="shared" si="14"/>
        <v>22.329</v>
      </c>
    </row>
    <row r="165" spans="1:15">
      <c r="A165" s="19">
        <v>1164</v>
      </c>
      <c r="B165" s="20">
        <v>45987</v>
      </c>
      <c r="C165" s="19" t="s">
        <v>26</v>
      </c>
      <c r="D165" s="19" t="s">
        <v>21</v>
      </c>
      <c r="E165" s="19" t="s">
        <v>35</v>
      </c>
      <c r="F165" s="19" t="s">
        <v>18</v>
      </c>
      <c r="G165" s="19">
        <v>31</v>
      </c>
      <c r="H165" s="21">
        <v>790.27</v>
      </c>
      <c r="I165" s="22">
        <v>0.05</v>
      </c>
      <c r="J165" s="19" t="s">
        <v>30</v>
      </c>
      <c r="K165" s="9">
        <f t="shared" si="10"/>
        <v>23273.4515</v>
      </c>
      <c r="L165" s="9">
        <f t="shared" si="11"/>
        <v>1224.9185</v>
      </c>
      <c r="M165" s="10" t="str">
        <f t="shared" si="12"/>
        <v>Large</v>
      </c>
      <c r="N165" s="10" t="str">
        <f t="shared" si="13"/>
        <v>Yes</v>
      </c>
      <c r="O165" s="9">
        <f t="shared" si="14"/>
        <v>750.7565</v>
      </c>
    </row>
    <row r="166" spans="1:15">
      <c r="A166" s="19">
        <v>1165</v>
      </c>
      <c r="B166" s="20">
        <v>46022</v>
      </c>
      <c r="C166" s="19" t="s">
        <v>24</v>
      </c>
      <c r="D166" s="19" t="s">
        <v>16</v>
      </c>
      <c r="E166" s="19" t="s">
        <v>37</v>
      </c>
      <c r="F166" s="19" t="s">
        <v>29</v>
      </c>
      <c r="G166" s="19">
        <v>6</v>
      </c>
      <c r="H166" s="21">
        <v>139.76</v>
      </c>
      <c r="I166" s="22">
        <v>0</v>
      </c>
      <c r="J166" s="19" t="s">
        <v>23</v>
      </c>
      <c r="K166" s="9">
        <f t="shared" si="10"/>
        <v>838.56</v>
      </c>
      <c r="L166" s="9">
        <f t="shared" si="11"/>
        <v>0</v>
      </c>
      <c r="M166" s="10" t="str">
        <f t="shared" si="12"/>
        <v>Small</v>
      </c>
      <c r="N166" s="10" t="str">
        <f t="shared" si="13"/>
        <v>No</v>
      </c>
      <c r="O166" s="9">
        <f t="shared" si="14"/>
        <v>139.76</v>
      </c>
    </row>
    <row r="167" spans="1:15">
      <c r="A167" s="19">
        <v>1166</v>
      </c>
      <c r="B167" s="20">
        <v>45722</v>
      </c>
      <c r="C167" s="19" t="s">
        <v>36</v>
      </c>
      <c r="D167" s="19" t="s">
        <v>25</v>
      </c>
      <c r="E167" s="19" t="s">
        <v>38</v>
      </c>
      <c r="F167" s="19" t="s">
        <v>18</v>
      </c>
      <c r="G167" s="19">
        <v>38</v>
      </c>
      <c r="H167" s="21">
        <v>224.38</v>
      </c>
      <c r="I167" s="22">
        <v>0.1</v>
      </c>
      <c r="J167" s="19" t="s">
        <v>19</v>
      </c>
      <c r="K167" s="9">
        <f t="shared" si="10"/>
        <v>7673.796</v>
      </c>
      <c r="L167" s="9">
        <f t="shared" si="11"/>
        <v>852.644</v>
      </c>
      <c r="M167" s="10" t="str">
        <f t="shared" si="12"/>
        <v>Large</v>
      </c>
      <c r="N167" s="10" t="str">
        <f t="shared" si="13"/>
        <v>No</v>
      </c>
      <c r="O167" s="9">
        <f t="shared" si="14"/>
        <v>201.942</v>
      </c>
    </row>
    <row r="168" spans="1:15">
      <c r="A168" s="19">
        <v>1167</v>
      </c>
      <c r="B168" s="20">
        <v>45929</v>
      </c>
      <c r="C168" s="19" t="s">
        <v>20</v>
      </c>
      <c r="D168" s="19" t="s">
        <v>21</v>
      </c>
      <c r="E168" s="19" t="s">
        <v>38</v>
      </c>
      <c r="F168" s="19" t="s">
        <v>18</v>
      </c>
      <c r="G168" s="19">
        <v>39</v>
      </c>
      <c r="H168" s="21">
        <v>218.37</v>
      </c>
      <c r="I168" s="22">
        <v>0.05</v>
      </c>
      <c r="J168" s="19" t="s">
        <v>19</v>
      </c>
      <c r="K168" s="9">
        <f t="shared" si="10"/>
        <v>8090.6085</v>
      </c>
      <c r="L168" s="9">
        <f t="shared" si="11"/>
        <v>425.8215</v>
      </c>
      <c r="M168" s="10" t="str">
        <f t="shared" si="12"/>
        <v>Large</v>
      </c>
      <c r="N168" s="10" t="str">
        <f t="shared" si="13"/>
        <v>No</v>
      </c>
      <c r="O168" s="9">
        <f t="shared" si="14"/>
        <v>207.4515</v>
      </c>
    </row>
    <row r="169" spans="1:15">
      <c r="A169" s="19">
        <v>1168</v>
      </c>
      <c r="B169" s="20">
        <v>45991</v>
      </c>
      <c r="C169" s="19" t="s">
        <v>26</v>
      </c>
      <c r="D169" s="19" t="s">
        <v>34</v>
      </c>
      <c r="E169" s="19" t="s">
        <v>22</v>
      </c>
      <c r="F169" s="19" t="s">
        <v>18</v>
      </c>
      <c r="G169" s="19">
        <v>14</v>
      </c>
      <c r="H169" s="21">
        <v>62.12</v>
      </c>
      <c r="I169" s="22">
        <v>0.05</v>
      </c>
      <c r="J169" s="19" t="s">
        <v>30</v>
      </c>
      <c r="K169" s="9">
        <f t="shared" si="10"/>
        <v>826.196</v>
      </c>
      <c r="L169" s="9">
        <f t="shared" si="11"/>
        <v>43.484</v>
      </c>
      <c r="M169" s="10" t="str">
        <f t="shared" si="12"/>
        <v>Medium</v>
      </c>
      <c r="N169" s="10" t="str">
        <f t="shared" si="13"/>
        <v>No</v>
      </c>
      <c r="O169" s="9">
        <f t="shared" si="14"/>
        <v>59.014</v>
      </c>
    </row>
    <row r="170" spans="1:15">
      <c r="A170" s="19">
        <v>1169</v>
      </c>
      <c r="B170" s="20">
        <v>45831</v>
      </c>
      <c r="C170" s="19" t="s">
        <v>26</v>
      </c>
      <c r="D170" s="19" t="s">
        <v>27</v>
      </c>
      <c r="E170" s="19" t="s">
        <v>37</v>
      </c>
      <c r="F170" s="19" t="s">
        <v>29</v>
      </c>
      <c r="G170" s="19">
        <v>7</v>
      </c>
      <c r="H170" s="21">
        <v>147.57</v>
      </c>
      <c r="I170" s="22">
        <v>0</v>
      </c>
      <c r="J170" s="19" t="s">
        <v>19</v>
      </c>
      <c r="K170" s="9">
        <f t="shared" si="10"/>
        <v>1032.99</v>
      </c>
      <c r="L170" s="9">
        <f t="shared" si="11"/>
        <v>0</v>
      </c>
      <c r="M170" s="10" t="str">
        <f t="shared" si="12"/>
        <v>Small</v>
      </c>
      <c r="N170" s="10" t="str">
        <f t="shared" si="13"/>
        <v>No</v>
      </c>
      <c r="O170" s="9">
        <f t="shared" si="14"/>
        <v>147.57</v>
      </c>
    </row>
    <row r="171" spans="1:15">
      <c r="A171" s="19">
        <v>1170</v>
      </c>
      <c r="B171" s="20">
        <v>45788</v>
      </c>
      <c r="C171" s="19" t="s">
        <v>20</v>
      </c>
      <c r="D171" s="19" t="s">
        <v>21</v>
      </c>
      <c r="E171" s="19" t="s">
        <v>32</v>
      </c>
      <c r="F171" s="19" t="s">
        <v>33</v>
      </c>
      <c r="G171" s="19">
        <v>31</v>
      </c>
      <c r="H171" s="21">
        <v>8.58</v>
      </c>
      <c r="I171" s="22">
        <v>0</v>
      </c>
      <c r="J171" s="19" t="s">
        <v>23</v>
      </c>
      <c r="K171" s="9">
        <f t="shared" si="10"/>
        <v>265.98</v>
      </c>
      <c r="L171" s="9">
        <f t="shared" si="11"/>
        <v>0</v>
      </c>
      <c r="M171" s="10" t="str">
        <f t="shared" si="12"/>
        <v>Large</v>
      </c>
      <c r="N171" s="10" t="str">
        <f t="shared" si="13"/>
        <v>No</v>
      </c>
      <c r="O171" s="9">
        <f t="shared" si="14"/>
        <v>8.58</v>
      </c>
    </row>
    <row r="172" spans="1:15">
      <c r="A172" s="19">
        <v>1171</v>
      </c>
      <c r="B172" s="20">
        <v>45879</v>
      </c>
      <c r="C172" s="19" t="s">
        <v>24</v>
      </c>
      <c r="D172" s="19" t="s">
        <v>39</v>
      </c>
      <c r="E172" s="19" t="s">
        <v>17</v>
      </c>
      <c r="F172" s="19" t="s">
        <v>18</v>
      </c>
      <c r="G172" s="19">
        <v>24</v>
      </c>
      <c r="H172" s="21">
        <v>25.98</v>
      </c>
      <c r="I172" s="22">
        <v>0</v>
      </c>
      <c r="J172" s="19" t="s">
        <v>19</v>
      </c>
      <c r="K172" s="9">
        <f t="shared" si="10"/>
        <v>623.52</v>
      </c>
      <c r="L172" s="9">
        <f t="shared" si="11"/>
        <v>0</v>
      </c>
      <c r="M172" s="10" t="str">
        <f t="shared" si="12"/>
        <v>Medium</v>
      </c>
      <c r="N172" s="10" t="str">
        <f t="shared" si="13"/>
        <v>No</v>
      </c>
      <c r="O172" s="9">
        <f t="shared" si="14"/>
        <v>25.98</v>
      </c>
    </row>
    <row r="173" spans="1:15">
      <c r="A173" s="19">
        <v>1172</v>
      </c>
      <c r="B173" s="20">
        <v>45945</v>
      </c>
      <c r="C173" s="19" t="s">
        <v>36</v>
      </c>
      <c r="D173" s="19" t="s">
        <v>25</v>
      </c>
      <c r="E173" s="19" t="s">
        <v>22</v>
      </c>
      <c r="F173" s="19" t="s">
        <v>18</v>
      </c>
      <c r="G173" s="19">
        <v>8</v>
      </c>
      <c r="H173" s="21">
        <v>58.36</v>
      </c>
      <c r="I173" s="22">
        <v>0.05</v>
      </c>
      <c r="J173" s="19" t="s">
        <v>19</v>
      </c>
      <c r="K173" s="9">
        <f t="shared" si="10"/>
        <v>443.536</v>
      </c>
      <c r="L173" s="9">
        <f t="shared" si="11"/>
        <v>23.344</v>
      </c>
      <c r="M173" s="10" t="str">
        <f t="shared" si="12"/>
        <v>Small</v>
      </c>
      <c r="N173" s="10" t="str">
        <f t="shared" si="13"/>
        <v>No</v>
      </c>
      <c r="O173" s="9">
        <f t="shared" si="14"/>
        <v>55.442</v>
      </c>
    </row>
    <row r="174" spans="1:15">
      <c r="A174" s="19">
        <v>1173</v>
      </c>
      <c r="B174" s="20">
        <v>45684</v>
      </c>
      <c r="C174" s="19" t="s">
        <v>24</v>
      </c>
      <c r="D174" s="19" t="s">
        <v>34</v>
      </c>
      <c r="E174" s="19" t="s">
        <v>38</v>
      </c>
      <c r="F174" s="19" t="s">
        <v>18</v>
      </c>
      <c r="G174" s="19">
        <v>23</v>
      </c>
      <c r="H174" s="21">
        <v>223.53</v>
      </c>
      <c r="I174" s="22">
        <v>0</v>
      </c>
      <c r="J174" s="19" t="s">
        <v>23</v>
      </c>
      <c r="K174" s="9">
        <f t="shared" si="10"/>
        <v>5141.19</v>
      </c>
      <c r="L174" s="9">
        <f t="shared" si="11"/>
        <v>0</v>
      </c>
      <c r="M174" s="10" t="str">
        <f t="shared" si="12"/>
        <v>Medium</v>
      </c>
      <c r="N174" s="10" t="str">
        <f t="shared" si="13"/>
        <v>No</v>
      </c>
      <c r="O174" s="9">
        <f t="shared" si="14"/>
        <v>223.53</v>
      </c>
    </row>
    <row r="175" spans="1:15">
      <c r="A175" s="19">
        <v>1174</v>
      </c>
      <c r="B175" s="20">
        <v>45994</v>
      </c>
      <c r="C175" s="19" t="s">
        <v>24</v>
      </c>
      <c r="D175" s="19" t="s">
        <v>27</v>
      </c>
      <c r="E175" s="19" t="s">
        <v>37</v>
      </c>
      <c r="F175" s="19" t="s">
        <v>29</v>
      </c>
      <c r="G175" s="19">
        <v>7</v>
      </c>
      <c r="H175" s="21">
        <v>143.38</v>
      </c>
      <c r="I175" s="22">
        <v>0</v>
      </c>
      <c r="J175" s="19" t="s">
        <v>23</v>
      </c>
      <c r="K175" s="9">
        <f t="shared" si="10"/>
        <v>1003.66</v>
      </c>
      <c r="L175" s="9">
        <f t="shared" si="11"/>
        <v>0</v>
      </c>
      <c r="M175" s="10" t="str">
        <f t="shared" si="12"/>
        <v>Small</v>
      </c>
      <c r="N175" s="10" t="str">
        <f t="shared" si="13"/>
        <v>No</v>
      </c>
      <c r="O175" s="9">
        <f t="shared" si="14"/>
        <v>143.38</v>
      </c>
    </row>
    <row r="176" spans="1:15">
      <c r="A176" s="19">
        <v>1175</v>
      </c>
      <c r="B176" s="20">
        <v>45800</v>
      </c>
      <c r="C176" s="19" t="s">
        <v>24</v>
      </c>
      <c r="D176" s="19" t="s">
        <v>39</v>
      </c>
      <c r="E176" s="19" t="s">
        <v>28</v>
      </c>
      <c r="F176" s="19" t="s">
        <v>29</v>
      </c>
      <c r="G176" s="19">
        <v>28</v>
      </c>
      <c r="H176" s="21">
        <v>33.47</v>
      </c>
      <c r="I176" s="22">
        <v>0.1</v>
      </c>
      <c r="J176" s="19" t="s">
        <v>19</v>
      </c>
      <c r="K176" s="9">
        <f t="shared" si="10"/>
        <v>843.444</v>
      </c>
      <c r="L176" s="9">
        <f t="shared" si="11"/>
        <v>93.716</v>
      </c>
      <c r="M176" s="10" t="str">
        <f t="shared" si="12"/>
        <v>Large</v>
      </c>
      <c r="N176" s="10" t="str">
        <f t="shared" si="13"/>
        <v>No</v>
      </c>
      <c r="O176" s="9">
        <f t="shared" si="14"/>
        <v>30.123</v>
      </c>
    </row>
    <row r="177" spans="1:15">
      <c r="A177" s="19">
        <v>1176</v>
      </c>
      <c r="B177" s="20">
        <v>45994</v>
      </c>
      <c r="C177" s="19" t="s">
        <v>36</v>
      </c>
      <c r="D177" s="19" t="s">
        <v>27</v>
      </c>
      <c r="E177" s="19" t="s">
        <v>38</v>
      </c>
      <c r="F177" s="19" t="s">
        <v>18</v>
      </c>
      <c r="G177" s="19">
        <v>18</v>
      </c>
      <c r="H177" s="21">
        <v>203.42</v>
      </c>
      <c r="I177" s="22">
        <v>0.15</v>
      </c>
      <c r="J177" s="19" t="s">
        <v>30</v>
      </c>
      <c r="K177" s="9">
        <f t="shared" si="10"/>
        <v>3112.326</v>
      </c>
      <c r="L177" s="9">
        <f t="shared" si="11"/>
        <v>549.234</v>
      </c>
      <c r="M177" s="10" t="str">
        <f t="shared" si="12"/>
        <v>Medium</v>
      </c>
      <c r="N177" s="10" t="str">
        <f t="shared" si="13"/>
        <v>Yes</v>
      </c>
      <c r="O177" s="9">
        <f t="shared" si="14"/>
        <v>172.907</v>
      </c>
    </row>
    <row r="178" spans="1:15">
      <c r="A178" s="19">
        <v>1177</v>
      </c>
      <c r="B178" s="20">
        <v>45661</v>
      </c>
      <c r="C178" s="19" t="s">
        <v>26</v>
      </c>
      <c r="D178" s="19" t="s">
        <v>21</v>
      </c>
      <c r="E178" s="19" t="s">
        <v>41</v>
      </c>
      <c r="F178" s="19" t="s">
        <v>29</v>
      </c>
      <c r="G178" s="19">
        <v>37</v>
      </c>
      <c r="H178" s="21">
        <v>190.65</v>
      </c>
      <c r="I178" s="22">
        <v>0.15</v>
      </c>
      <c r="J178" s="19" t="s">
        <v>23</v>
      </c>
      <c r="K178" s="9">
        <f t="shared" si="10"/>
        <v>5995.9425</v>
      </c>
      <c r="L178" s="9">
        <f t="shared" si="11"/>
        <v>1058.1075</v>
      </c>
      <c r="M178" s="10" t="str">
        <f t="shared" si="12"/>
        <v>Large</v>
      </c>
      <c r="N178" s="10" t="str">
        <f t="shared" si="13"/>
        <v>No</v>
      </c>
      <c r="O178" s="9">
        <f t="shared" si="14"/>
        <v>162.0525</v>
      </c>
    </row>
    <row r="179" spans="1:15">
      <c r="A179" s="19">
        <v>1178</v>
      </c>
      <c r="B179" s="20">
        <v>45982</v>
      </c>
      <c r="C179" s="19" t="s">
        <v>26</v>
      </c>
      <c r="D179" s="19" t="s">
        <v>25</v>
      </c>
      <c r="E179" s="19" t="s">
        <v>35</v>
      </c>
      <c r="F179" s="19" t="s">
        <v>18</v>
      </c>
      <c r="G179" s="19">
        <v>34</v>
      </c>
      <c r="H179" s="21">
        <v>794.48</v>
      </c>
      <c r="I179" s="22">
        <v>0</v>
      </c>
      <c r="J179" s="19" t="s">
        <v>30</v>
      </c>
      <c r="K179" s="9">
        <f t="shared" si="10"/>
        <v>27012.32</v>
      </c>
      <c r="L179" s="9">
        <f t="shared" si="11"/>
        <v>0</v>
      </c>
      <c r="M179" s="10" t="str">
        <f t="shared" si="12"/>
        <v>Large</v>
      </c>
      <c r="N179" s="10" t="str">
        <f t="shared" si="13"/>
        <v>Yes</v>
      </c>
      <c r="O179" s="9">
        <f t="shared" si="14"/>
        <v>794.48</v>
      </c>
    </row>
    <row r="180" spans="1:15">
      <c r="A180" s="19">
        <v>1179</v>
      </c>
      <c r="B180" s="20">
        <v>45832</v>
      </c>
      <c r="C180" s="19" t="s">
        <v>24</v>
      </c>
      <c r="D180" s="19" t="s">
        <v>21</v>
      </c>
      <c r="E180" s="19" t="s">
        <v>41</v>
      </c>
      <c r="F180" s="19" t="s">
        <v>29</v>
      </c>
      <c r="G180" s="19">
        <v>21</v>
      </c>
      <c r="H180" s="21">
        <v>176.26</v>
      </c>
      <c r="I180" s="22">
        <v>0.1</v>
      </c>
      <c r="J180" s="19" t="s">
        <v>23</v>
      </c>
      <c r="K180" s="9">
        <f t="shared" si="10"/>
        <v>3331.314</v>
      </c>
      <c r="L180" s="9">
        <f t="shared" si="11"/>
        <v>370.146</v>
      </c>
      <c r="M180" s="10" t="str">
        <f t="shared" si="12"/>
        <v>Medium</v>
      </c>
      <c r="N180" s="10" t="str">
        <f t="shared" si="13"/>
        <v>No</v>
      </c>
      <c r="O180" s="9">
        <f t="shared" si="14"/>
        <v>158.634</v>
      </c>
    </row>
    <row r="181" spans="1:15">
      <c r="A181" s="19">
        <v>1180</v>
      </c>
      <c r="B181" s="20">
        <v>45737</v>
      </c>
      <c r="C181" s="19" t="s">
        <v>20</v>
      </c>
      <c r="D181" s="19" t="s">
        <v>43</v>
      </c>
      <c r="E181" s="19" t="s">
        <v>41</v>
      </c>
      <c r="F181" s="19" t="s">
        <v>29</v>
      </c>
      <c r="G181" s="19">
        <v>4</v>
      </c>
      <c r="H181" s="21">
        <v>187.33</v>
      </c>
      <c r="I181" s="22">
        <v>0.15</v>
      </c>
      <c r="J181" s="19" t="s">
        <v>30</v>
      </c>
      <c r="K181" s="9">
        <f t="shared" si="10"/>
        <v>636.922</v>
      </c>
      <c r="L181" s="9">
        <f t="shared" si="11"/>
        <v>112.398</v>
      </c>
      <c r="M181" s="10" t="str">
        <f t="shared" si="12"/>
        <v>Small</v>
      </c>
      <c r="N181" s="10" t="str">
        <f t="shared" si="13"/>
        <v>No</v>
      </c>
      <c r="O181" s="9">
        <f t="shared" si="14"/>
        <v>159.2305</v>
      </c>
    </row>
    <row r="182" spans="1:15">
      <c r="A182" s="19">
        <v>1181</v>
      </c>
      <c r="B182" s="20">
        <v>45996</v>
      </c>
      <c r="C182" s="19" t="s">
        <v>36</v>
      </c>
      <c r="D182" s="19" t="s">
        <v>34</v>
      </c>
      <c r="E182" s="19" t="s">
        <v>40</v>
      </c>
      <c r="F182" s="19" t="s">
        <v>33</v>
      </c>
      <c r="G182" s="19">
        <v>29</v>
      </c>
      <c r="H182" s="21">
        <v>11.97</v>
      </c>
      <c r="I182" s="22">
        <v>0.05</v>
      </c>
      <c r="J182" s="19" t="s">
        <v>19</v>
      </c>
      <c r="K182" s="9">
        <f t="shared" si="10"/>
        <v>329.7735</v>
      </c>
      <c r="L182" s="9">
        <f t="shared" si="11"/>
        <v>17.3565</v>
      </c>
      <c r="M182" s="10" t="str">
        <f t="shared" si="12"/>
        <v>Large</v>
      </c>
      <c r="N182" s="10" t="str">
        <f t="shared" si="13"/>
        <v>No</v>
      </c>
      <c r="O182" s="9">
        <f t="shared" si="14"/>
        <v>11.3715</v>
      </c>
    </row>
    <row r="183" spans="1:15">
      <c r="A183" s="19">
        <v>1182</v>
      </c>
      <c r="B183" s="20">
        <v>45716</v>
      </c>
      <c r="C183" s="19" t="s">
        <v>24</v>
      </c>
      <c r="D183" s="19" t="s">
        <v>42</v>
      </c>
      <c r="E183" s="19" t="s">
        <v>32</v>
      </c>
      <c r="F183" s="19" t="s">
        <v>33</v>
      </c>
      <c r="G183" s="19">
        <v>19</v>
      </c>
      <c r="H183" s="21">
        <v>7.91</v>
      </c>
      <c r="I183" s="22">
        <v>0.15</v>
      </c>
      <c r="J183" s="19" t="s">
        <v>19</v>
      </c>
      <c r="K183" s="9">
        <f t="shared" si="10"/>
        <v>127.7465</v>
      </c>
      <c r="L183" s="9">
        <f t="shared" si="11"/>
        <v>22.5435</v>
      </c>
      <c r="M183" s="10" t="str">
        <f t="shared" si="12"/>
        <v>Medium</v>
      </c>
      <c r="N183" s="10" t="str">
        <f t="shared" si="13"/>
        <v>No</v>
      </c>
      <c r="O183" s="9">
        <f t="shared" si="14"/>
        <v>6.7235</v>
      </c>
    </row>
    <row r="184" spans="1:15">
      <c r="A184" s="19">
        <v>1183</v>
      </c>
      <c r="B184" s="20">
        <v>45999</v>
      </c>
      <c r="C184" s="19" t="s">
        <v>20</v>
      </c>
      <c r="D184" s="19" t="s">
        <v>39</v>
      </c>
      <c r="E184" s="19" t="s">
        <v>38</v>
      </c>
      <c r="F184" s="19" t="s">
        <v>18</v>
      </c>
      <c r="G184" s="19">
        <v>26</v>
      </c>
      <c r="H184" s="21">
        <v>204</v>
      </c>
      <c r="I184" s="22">
        <v>0.1</v>
      </c>
      <c r="J184" s="19" t="s">
        <v>23</v>
      </c>
      <c r="K184" s="9">
        <f t="shared" si="10"/>
        <v>4773.6</v>
      </c>
      <c r="L184" s="9">
        <f t="shared" si="11"/>
        <v>530.4</v>
      </c>
      <c r="M184" s="10" t="str">
        <f t="shared" si="12"/>
        <v>Large</v>
      </c>
      <c r="N184" s="10" t="str">
        <f t="shared" si="13"/>
        <v>No</v>
      </c>
      <c r="O184" s="9">
        <f t="shared" si="14"/>
        <v>183.6</v>
      </c>
    </row>
    <row r="185" spans="1:15">
      <c r="A185" s="19">
        <v>1184</v>
      </c>
      <c r="B185" s="20">
        <v>45812</v>
      </c>
      <c r="C185" s="19" t="s">
        <v>36</v>
      </c>
      <c r="D185" s="19" t="s">
        <v>21</v>
      </c>
      <c r="E185" s="19" t="s">
        <v>31</v>
      </c>
      <c r="F185" s="19" t="s">
        <v>29</v>
      </c>
      <c r="G185" s="19">
        <v>17</v>
      </c>
      <c r="H185" s="21">
        <v>437.97</v>
      </c>
      <c r="I185" s="22">
        <v>0</v>
      </c>
      <c r="J185" s="19" t="s">
        <v>23</v>
      </c>
      <c r="K185" s="9">
        <f t="shared" si="10"/>
        <v>7445.49</v>
      </c>
      <c r="L185" s="9">
        <f t="shared" si="11"/>
        <v>0</v>
      </c>
      <c r="M185" s="10" t="str">
        <f t="shared" si="12"/>
        <v>Medium</v>
      </c>
      <c r="N185" s="10" t="str">
        <f t="shared" si="13"/>
        <v>No</v>
      </c>
      <c r="O185" s="9">
        <f t="shared" si="14"/>
        <v>437.97</v>
      </c>
    </row>
    <row r="186" spans="1:15">
      <c r="A186" s="19">
        <v>1185</v>
      </c>
      <c r="B186" s="20">
        <v>45912</v>
      </c>
      <c r="C186" s="19" t="s">
        <v>15</v>
      </c>
      <c r="D186" s="19" t="s">
        <v>27</v>
      </c>
      <c r="E186" s="19" t="s">
        <v>40</v>
      </c>
      <c r="F186" s="19" t="s">
        <v>33</v>
      </c>
      <c r="G186" s="19">
        <v>25</v>
      </c>
      <c r="H186" s="21">
        <v>11.38</v>
      </c>
      <c r="I186" s="22">
        <v>0.1</v>
      </c>
      <c r="J186" s="19" t="s">
        <v>23</v>
      </c>
      <c r="K186" s="9">
        <f t="shared" si="10"/>
        <v>256.05</v>
      </c>
      <c r="L186" s="9">
        <f t="shared" si="11"/>
        <v>28.45</v>
      </c>
      <c r="M186" s="10" t="str">
        <f t="shared" si="12"/>
        <v>Medium</v>
      </c>
      <c r="N186" s="10" t="str">
        <f t="shared" si="13"/>
        <v>No</v>
      </c>
      <c r="O186" s="9">
        <f t="shared" si="14"/>
        <v>10.242</v>
      </c>
    </row>
    <row r="187" spans="1:15">
      <c r="A187" s="19">
        <v>1186</v>
      </c>
      <c r="B187" s="20">
        <v>45861</v>
      </c>
      <c r="C187" s="19" t="s">
        <v>36</v>
      </c>
      <c r="D187" s="19" t="s">
        <v>25</v>
      </c>
      <c r="E187" s="19" t="s">
        <v>35</v>
      </c>
      <c r="F187" s="19" t="s">
        <v>18</v>
      </c>
      <c r="G187" s="19">
        <v>30</v>
      </c>
      <c r="H187" s="21">
        <v>841.33</v>
      </c>
      <c r="I187" s="22">
        <v>0</v>
      </c>
      <c r="J187" s="19" t="s">
        <v>19</v>
      </c>
      <c r="K187" s="9">
        <f t="shared" si="10"/>
        <v>25239.9</v>
      </c>
      <c r="L187" s="9">
        <f t="shared" si="11"/>
        <v>0</v>
      </c>
      <c r="M187" s="10" t="str">
        <f t="shared" si="12"/>
        <v>Large</v>
      </c>
      <c r="N187" s="10" t="str">
        <f t="shared" si="13"/>
        <v>No</v>
      </c>
      <c r="O187" s="9">
        <f t="shared" si="14"/>
        <v>841.33</v>
      </c>
    </row>
    <row r="188" spans="1:15">
      <c r="A188" s="19">
        <v>1187</v>
      </c>
      <c r="B188" s="20">
        <v>45865</v>
      </c>
      <c r="C188" s="19" t="s">
        <v>36</v>
      </c>
      <c r="D188" s="19" t="s">
        <v>16</v>
      </c>
      <c r="E188" s="19" t="s">
        <v>40</v>
      </c>
      <c r="F188" s="19" t="s">
        <v>33</v>
      </c>
      <c r="G188" s="19">
        <v>26</v>
      </c>
      <c r="H188" s="21">
        <v>11.6</v>
      </c>
      <c r="I188" s="22">
        <v>0</v>
      </c>
      <c r="J188" s="19" t="s">
        <v>19</v>
      </c>
      <c r="K188" s="9">
        <f t="shared" si="10"/>
        <v>301.6</v>
      </c>
      <c r="L188" s="9">
        <f t="shared" si="11"/>
        <v>0</v>
      </c>
      <c r="M188" s="10" t="str">
        <f t="shared" si="12"/>
        <v>Large</v>
      </c>
      <c r="N188" s="10" t="str">
        <f t="shared" si="13"/>
        <v>No</v>
      </c>
      <c r="O188" s="9">
        <f t="shared" si="14"/>
        <v>11.6</v>
      </c>
    </row>
    <row r="189" spans="1:15">
      <c r="A189" s="19">
        <v>1188</v>
      </c>
      <c r="B189" s="20">
        <v>45893</v>
      </c>
      <c r="C189" s="19" t="s">
        <v>26</v>
      </c>
      <c r="D189" s="19" t="s">
        <v>25</v>
      </c>
      <c r="E189" s="19" t="s">
        <v>32</v>
      </c>
      <c r="F189" s="19" t="s">
        <v>33</v>
      </c>
      <c r="G189" s="19">
        <v>7</v>
      </c>
      <c r="H189" s="21">
        <v>7.47</v>
      </c>
      <c r="I189" s="22">
        <v>0</v>
      </c>
      <c r="J189" s="19" t="s">
        <v>19</v>
      </c>
      <c r="K189" s="9">
        <f t="shared" si="10"/>
        <v>52.29</v>
      </c>
      <c r="L189" s="9">
        <f t="shared" si="11"/>
        <v>0</v>
      </c>
      <c r="M189" s="10" t="str">
        <f t="shared" si="12"/>
        <v>Small</v>
      </c>
      <c r="N189" s="10" t="str">
        <f t="shared" si="13"/>
        <v>No</v>
      </c>
      <c r="O189" s="9">
        <f t="shared" si="14"/>
        <v>7.47</v>
      </c>
    </row>
    <row r="190" spans="1:15">
      <c r="A190" s="19">
        <v>1189</v>
      </c>
      <c r="B190" s="20">
        <v>45698</v>
      </c>
      <c r="C190" s="19" t="s">
        <v>36</v>
      </c>
      <c r="D190" s="19" t="s">
        <v>16</v>
      </c>
      <c r="E190" s="19" t="s">
        <v>40</v>
      </c>
      <c r="F190" s="19" t="s">
        <v>33</v>
      </c>
      <c r="G190" s="19">
        <v>22</v>
      </c>
      <c r="H190" s="21">
        <v>12.71</v>
      </c>
      <c r="I190" s="22">
        <v>0</v>
      </c>
      <c r="J190" s="19" t="s">
        <v>23</v>
      </c>
      <c r="K190" s="9">
        <f t="shared" si="10"/>
        <v>279.62</v>
      </c>
      <c r="L190" s="9">
        <f t="shared" si="11"/>
        <v>0</v>
      </c>
      <c r="M190" s="10" t="str">
        <f t="shared" si="12"/>
        <v>Medium</v>
      </c>
      <c r="N190" s="10" t="str">
        <f t="shared" si="13"/>
        <v>No</v>
      </c>
      <c r="O190" s="9">
        <f t="shared" si="14"/>
        <v>12.71</v>
      </c>
    </row>
    <row r="191" spans="1:15">
      <c r="A191" s="19">
        <v>1190</v>
      </c>
      <c r="B191" s="20">
        <v>45919</v>
      </c>
      <c r="C191" s="19" t="s">
        <v>36</v>
      </c>
      <c r="D191" s="19" t="s">
        <v>16</v>
      </c>
      <c r="E191" s="19" t="s">
        <v>17</v>
      </c>
      <c r="F191" s="19" t="s">
        <v>18</v>
      </c>
      <c r="G191" s="19">
        <v>13</v>
      </c>
      <c r="H191" s="21">
        <v>25.12</v>
      </c>
      <c r="I191" s="22">
        <v>0</v>
      </c>
      <c r="J191" s="19" t="s">
        <v>23</v>
      </c>
      <c r="K191" s="9">
        <f t="shared" si="10"/>
        <v>326.56</v>
      </c>
      <c r="L191" s="9">
        <f t="shared" si="11"/>
        <v>0</v>
      </c>
      <c r="M191" s="10" t="str">
        <f t="shared" si="12"/>
        <v>Medium</v>
      </c>
      <c r="N191" s="10" t="str">
        <f t="shared" si="13"/>
        <v>No</v>
      </c>
      <c r="O191" s="9">
        <f t="shared" si="14"/>
        <v>25.12</v>
      </c>
    </row>
    <row r="192" spans="1:15">
      <c r="A192" s="19">
        <v>1191</v>
      </c>
      <c r="B192" s="20">
        <v>45710</v>
      </c>
      <c r="C192" s="19" t="s">
        <v>15</v>
      </c>
      <c r="D192" s="19" t="s">
        <v>21</v>
      </c>
      <c r="E192" s="19" t="s">
        <v>41</v>
      </c>
      <c r="F192" s="19" t="s">
        <v>29</v>
      </c>
      <c r="G192" s="19">
        <v>12</v>
      </c>
      <c r="H192" s="21">
        <v>172.97</v>
      </c>
      <c r="I192" s="22">
        <v>0.1</v>
      </c>
      <c r="J192" s="19" t="s">
        <v>23</v>
      </c>
      <c r="K192" s="9">
        <f t="shared" si="10"/>
        <v>1868.076</v>
      </c>
      <c r="L192" s="9">
        <f t="shared" si="11"/>
        <v>207.564</v>
      </c>
      <c r="M192" s="10" t="str">
        <f t="shared" si="12"/>
        <v>Medium</v>
      </c>
      <c r="N192" s="10" t="str">
        <f t="shared" si="13"/>
        <v>No</v>
      </c>
      <c r="O192" s="9">
        <f t="shared" si="14"/>
        <v>155.673</v>
      </c>
    </row>
    <row r="193" spans="1:15">
      <c r="A193" s="19">
        <v>1192</v>
      </c>
      <c r="B193" s="20">
        <v>45979</v>
      </c>
      <c r="C193" s="19" t="s">
        <v>26</v>
      </c>
      <c r="D193" s="19" t="s">
        <v>27</v>
      </c>
      <c r="E193" s="19" t="s">
        <v>37</v>
      </c>
      <c r="F193" s="19" t="s">
        <v>29</v>
      </c>
      <c r="G193" s="19">
        <v>37</v>
      </c>
      <c r="H193" s="21">
        <v>149.13</v>
      </c>
      <c r="I193" s="22">
        <v>0.1</v>
      </c>
      <c r="J193" s="19" t="s">
        <v>19</v>
      </c>
      <c r="K193" s="9">
        <f t="shared" si="10"/>
        <v>4966.029</v>
      </c>
      <c r="L193" s="9">
        <f t="shared" si="11"/>
        <v>551.781</v>
      </c>
      <c r="M193" s="10" t="str">
        <f t="shared" si="12"/>
        <v>Large</v>
      </c>
      <c r="N193" s="10" t="str">
        <f t="shared" si="13"/>
        <v>No</v>
      </c>
      <c r="O193" s="9">
        <f t="shared" si="14"/>
        <v>134.217</v>
      </c>
    </row>
    <row r="194" spans="1:15">
      <c r="A194" s="19">
        <v>1193</v>
      </c>
      <c r="B194" s="20">
        <v>45819</v>
      </c>
      <c r="C194" s="19" t="s">
        <v>36</v>
      </c>
      <c r="D194" s="19" t="s">
        <v>43</v>
      </c>
      <c r="E194" s="19" t="s">
        <v>41</v>
      </c>
      <c r="F194" s="19" t="s">
        <v>29</v>
      </c>
      <c r="G194" s="19">
        <v>31</v>
      </c>
      <c r="H194" s="21">
        <v>178.27</v>
      </c>
      <c r="I194" s="22">
        <v>0.05</v>
      </c>
      <c r="J194" s="19" t="s">
        <v>19</v>
      </c>
      <c r="K194" s="9">
        <f t="shared" ref="K194:K201" si="15">G194*H194*(1-I194)</f>
        <v>5250.0515</v>
      </c>
      <c r="L194" s="9">
        <f t="shared" ref="L194:L201" si="16">G194*H194*I194</f>
        <v>276.3185</v>
      </c>
      <c r="M194" s="10" t="str">
        <f t="shared" ref="M194:M201" si="17">IF(G194&lt;10,"Small",IF(G194&lt;=25,"Medium","Large"))</f>
        <v>Large</v>
      </c>
      <c r="N194" s="10" t="str">
        <f t="shared" ref="N194:N201" si="18">IF(AND(K194&gt;2000,J194="Wholesale"),"Yes","No")</f>
        <v>No</v>
      </c>
      <c r="O194" s="9">
        <f t="shared" ref="O194:O201" si="19">IFERROR(K194/G194,"N/A")</f>
        <v>169.3565</v>
      </c>
    </row>
    <row r="195" spans="1:15">
      <c r="A195" s="19">
        <v>1194</v>
      </c>
      <c r="B195" s="20">
        <v>45686</v>
      </c>
      <c r="C195" s="19" t="s">
        <v>26</v>
      </c>
      <c r="D195" s="19" t="s">
        <v>39</v>
      </c>
      <c r="E195" s="19" t="s">
        <v>32</v>
      </c>
      <c r="F195" s="19" t="s">
        <v>33</v>
      </c>
      <c r="G195" s="19">
        <v>20</v>
      </c>
      <c r="H195" s="21">
        <v>8.01</v>
      </c>
      <c r="I195" s="22">
        <v>0.05</v>
      </c>
      <c r="J195" s="19" t="s">
        <v>23</v>
      </c>
      <c r="K195" s="9">
        <f t="shared" si="15"/>
        <v>152.19</v>
      </c>
      <c r="L195" s="9">
        <f t="shared" si="16"/>
        <v>8.01</v>
      </c>
      <c r="M195" s="10" t="str">
        <f t="shared" si="17"/>
        <v>Medium</v>
      </c>
      <c r="N195" s="10" t="str">
        <f t="shared" si="18"/>
        <v>No</v>
      </c>
      <c r="O195" s="9">
        <f t="shared" si="19"/>
        <v>7.6095</v>
      </c>
    </row>
    <row r="196" spans="1:15">
      <c r="A196" s="19">
        <v>1195</v>
      </c>
      <c r="B196" s="20">
        <v>45846</v>
      </c>
      <c r="C196" s="19" t="s">
        <v>24</v>
      </c>
      <c r="D196" s="19" t="s">
        <v>25</v>
      </c>
      <c r="E196" s="19" t="s">
        <v>38</v>
      </c>
      <c r="F196" s="19" t="s">
        <v>18</v>
      </c>
      <c r="G196" s="19">
        <v>6</v>
      </c>
      <c r="H196" s="21">
        <v>205.1</v>
      </c>
      <c r="I196" s="22">
        <v>0.1</v>
      </c>
      <c r="J196" s="19" t="s">
        <v>30</v>
      </c>
      <c r="K196" s="9">
        <f t="shared" si="15"/>
        <v>1107.54</v>
      </c>
      <c r="L196" s="9">
        <f t="shared" si="16"/>
        <v>123.06</v>
      </c>
      <c r="M196" s="10" t="str">
        <f t="shared" si="17"/>
        <v>Small</v>
      </c>
      <c r="N196" s="10" t="str">
        <f t="shared" si="18"/>
        <v>No</v>
      </c>
      <c r="O196" s="9">
        <f t="shared" si="19"/>
        <v>184.59</v>
      </c>
    </row>
    <row r="197" spans="1:15">
      <c r="A197" s="19">
        <v>1196</v>
      </c>
      <c r="B197" s="20">
        <v>45955</v>
      </c>
      <c r="C197" s="19" t="s">
        <v>24</v>
      </c>
      <c r="D197" s="19" t="s">
        <v>34</v>
      </c>
      <c r="E197" s="19" t="s">
        <v>22</v>
      </c>
      <c r="F197" s="19" t="s">
        <v>18</v>
      </c>
      <c r="G197" s="19">
        <v>3</v>
      </c>
      <c r="H197" s="21">
        <v>64.36</v>
      </c>
      <c r="I197" s="22">
        <v>0.05</v>
      </c>
      <c r="J197" s="19" t="s">
        <v>30</v>
      </c>
      <c r="K197" s="9">
        <f t="shared" si="15"/>
        <v>183.426</v>
      </c>
      <c r="L197" s="9">
        <f t="shared" si="16"/>
        <v>9.654</v>
      </c>
      <c r="M197" s="10" t="str">
        <f t="shared" si="17"/>
        <v>Small</v>
      </c>
      <c r="N197" s="10" t="str">
        <f t="shared" si="18"/>
        <v>No</v>
      </c>
      <c r="O197" s="9">
        <f t="shared" si="19"/>
        <v>61.142</v>
      </c>
    </row>
    <row r="198" spans="1:15">
      <c r="A198" s="19">
        <v>1197</v>
      </c>
      <c r="B198" s="20">
        <v>45967</v>
      </c>
      <c r="C198" s="19" t="s">
        <v>20</v>
      </c>
      <c r="D198" s="19" t="s">
        <v>27</v>
      </c>
      <c r="E198" s="19" t="s">
        <v>37</v>
      </c>
      <c r="F198" s="19" t="s">
        <v>29</v>
      </c>
      <c r="G198" s="19">
        <v>4</v>
      </c>
      <c r="H198" s="21">
        <v>150.03</v>
      </c>
      <c r="I198" s="22">
        <v>0.05</v>
      </c>
      <c r="J198" s="19" t="s">
        <v>19</v>
      </c>
      <c r="K198" s="9">
        <f t="shared" si="15"/>
        <v>570.114</v>
      </c>
      <c r="L198" s="9">
        <f t="shared" si="16"/>
        <v>30.006</v>
      </c>
      <c r="M198" s="10" t="str">
        <f t="shared" si="17"/>
        <v>Small</v>
      </c>
      <c r="N198" s="10" t="str">
        <f t="shared" si="18"/>
        <v>No</v>
      </c>
      <c r="O198" s="9">
        <f t="shared" si="19"/>
        <v>142.5285</v>
      </c>
    </row>
    <row r="199" spans="1:15">
      <c r="A199" s="19">
        <v>1198</v>
      </c>
      <c r="B199" s="20">
        <v>45701</v>
      </c>
      <c r="C199" s="19" t="s">
        <v>26</v>
      </c>
      <c r="D199" s="19" t="s">
        <v>42</v>
      </c>
      <c r="E199" s="19" t="s">
        <v>22</v>
      </c>
      <c r="F199" s="19" t="s">
        <v>18</v>
      </c>
      <c r="G199" s="19">
        <v>3</v>
      </c>
      <c r="H199" s="21">
        <v>61.4</v>
      </c>
      <c r="I199" s="22">
        <v>0</v>
      </c>
      <c r="J199" s="19" t="s">
        <v>19</v>
      </c>
      <c r="K199" s="9">
        <f t="shared" si="15"/>
        <v>184.2</v>
      </c>
      <c r="L199" s="9">
        <f t="shared" si="16"/>
        <v>0</v>
      </c>
      <c r="M199" s="10" t="str">
        <f t="shared" si="17"/>
        <v>Small</v>
      </c>
      <c r="N199" s="10" t="str">
        <f t="shared" si="18"/>
        <v>No</v>
      </c>
      <c r="O199" s="9">
        <f t="shared" si="19"/>
        <v>61.4</v>
      </c>
    </row>
    <row r="200" spans="1:15">
      <c r="A200" s="19">
        <v>1199</v>
      </c>
      <c r="B200" s="20">
        <v>45925</v>
      </c>
      <c r="C200" s="19" t="s">
        <v>26</v>
      </c>
      <c r="D200" s="19" t="s">
        <v>25</v>
      </c>
      <c r="E200" s="19" t="s">
        <v>28</v>
      </c>
      <c r="F200" s="19" t="s">
        <v>29</v>
      </c>
      <c r="G200" s="19">
        <v>24</v>
      </c>
      <c r="H200" s="21">
        <v>33.09</v>
      </c>
      <c r="I200" s="22">
        <v>0</v>
      </c>
      <c r="J200" s="19" t="s">
        <v>30</v>
      </c>
      <c r="K200" s="9">
        <f t="shared" si="15"/>
        <v>794.16</v>
      </c>
      <c r="L200" s="9">
        <f t="shared" si="16"/>
        <v>0</v>
      </c>
      <c r="M200" s="10" t="str">
        <f t="shared" si="17"/>
        <v>Medium</v>
      </c>
      <c r="N200" s="10" t="str">
        <f t="shared" si="18"/>
        <v>No</v>
      </c>
      <c r="O200" s="9">
        <f t="shared" si="19"/>
        <v>33.09</v>
      </c>
    </row>
    <row r="201" spans="1:15">
      <c r="A201" s="19">
        <v>1200</v>
      </c>
      <c r="B201" s="20">
        <v>46005</v>
      </c>
      <c r="C201" s="19" t="s">
        <v>36</v>
      </c>
      <c r="D201" s="19" t="s">
        <v>21</v>
      </c>
      <c r="E201" s="19" t="s">
        <v>28</v>
      </c>
      <c r="F201" s="19" t="s">
        <v>29</v>
      </c>
      <c r="G201" s="19">
        <v>22</v>
      </c>
      <c r="H201" s="21">
        <v>32.49</v>
      </c>
      <c r="I201" s="22">
        <v>0</v>
      </c>
      <c r="J201" s="19" t="s">
        <v>19</v>
      </c>
      <c r="K201" s="9">
        <f t="shared" si="15"/>
        <v>714.78</v>
      </c>
      <c r="L201" s="9">
        <f t="shared" si="16"/>
        <v>0</v>
      </c>
      <c r="M201" s="10" t="str">
        <f t="shared" si="17"/>
        <v>Medium</v>
      </c>
      <c r="N201" s="10" t="str">
        <f t="shared" si="18"/>
        <v>No</v>
      </c>
      <c r="O201" s="9">
        <f t="shared" si="19"/>
        <v>32.49</v>
      </c>
    </row>
  </sheetData>
  <conditionalFormatting sqref="H2:H2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01">
    <cfRule type="iconSet" priority="4">
      <iconSet iconSet="3TrafficLights1">
        <cfvo type="percent" val="0"/>
        <cfvo type="percent" val="33"/>
        <cfvo type="percent" val="67"/>
      </iconSet>
    </cfRule>
  </conditionalFormatting>
  <conditionalFormatting sqref="K2:K201">
    <cfRule type="cellIs" dxfId="0" priority="2" operator="greaterThan">
      <formula>3000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workbookViewId="0">
      <selection activeCell="A1" sqref="A1:B1"/>
    </sheetView>
  </sheetViews>
  <sheetFormatPr defaultColWidth="8.68181818181818" defaultRowHeight="14.5" outlineLevelCol="1"/>
  <cols>
    <col min="1" max="1" width="6" customWidth="1"/>
    <col min="2" max="2" width="110" customWidth="1"/>
  </cols>
  <sheetData>
    <row r="1" ht="18" spans="1:2">
      <c r="A1" s="6" t="s">
        <v>44</v>
      </c>
      <c r="B1" s="6"/>
    </row>
    <row r="2" spans="1:2">
      <c r="A2" s="14" t="s">
        <v>45</v>
      </c>
      <c r="B2" s="14"/>
    </row>
    <row r="4" ht="15.5" spans="1:2">
      <c r="A4" s="15" t="s">
        <v>46</v>
      </c>
      <c r="B4" s="15"/>
    </row>
    <row r="5" spans="1:2">
      <c r="A5" s="12" t="s">
        <v>47</v>
      </c>
      <c r="B5" s="16" t="s">
        <v>48</v>
      </c>
    </row>
    <row r="6" spans="1:2">
      <c r="A6" s="12" t="s">
        <v>49</v>
      </c>
      <c r="B6" s="16" t="s">
        <v>50</v>
      </c>
    </row>
    <row r="7" spans="1:2">
      <c r="A7" s="12" t="s">
        <v>51</v>
      </c>
      <c r="B7" s="16" t="s">
        <v>52</v>
      </c>
    </row>
    <row r="8" spans="1:2">
      <c r="A8" s="12" t="s">
        <v>53</v>
      </c>
      <c r="B8" s="16" t="s">
        <v>54</v>
      </c>
    </row>
    <row r="9" spans="1:2">
      <c r="A9" s="12" t="s">
        <v>55</v>
      </c>
      <c r="B9" s="16" t="s">
        <v>56</v>
      </c>
    </row>
    <row r="10" spans="1:2">
      <c r="A10" s="12" t="s">
        <v>57</v>
      </c>
      <c r="B10" s="16" t="s">
        <v>58</v>
      </c>
    </row>
    <row r="11" spans="1:2">
      <c r="A11" s="12" t="s">
        <v>59</v>
      </c>
      <c r="B11" s="16" t="s">
        <v>60</v>
      </c>
    </row>
    <row r="13" ht="15.5" spans="1:2">
      <c r="A13" s="15" t="s">
        <v>61</v>
      </c>
      <c r="B13" s="15"/>
    </row>
    <row r="14" ht="28" spans="1:2">
      <c r="A14" s="12" t="s">
        <v>47</v>
      </c>
      <c r="B14" s="16" t="s">
        <v>62</v>
      </c>
    </row>
    <row r="15" ht="28" spans="1:2">
      <c r="A15" s="12" t="s">
        <v>49</v>
      </c>
      <c r="B15" s="16" t="s">
        <v>63</v>
      </c>
    </row>
    <row r="16" ht="28" spans="1:2">
      <c r="A16" s="12" t="s">
        <v>51</v>
      </c>
      <c r="B16" s="16" t="s">
        <v>64</v>
      </c>
    </row>
    <row r="18" ht="15.5" spans="1:2">
      <c r="A18" s="15" t="s">
        <v>65</v>
      </c>
      <c r="B18" s="15"/>
    </row>
    <row r="19" ht="28" spans="1:2">
      <c r="A19" s="12" t="s">
        <v>47</v>
      </c>
      <c r="B19" s="16" t="s">
        <v>66</v>
      </c>
    </row>
    <row r="20" spans="1:2">
      <c r="A20" s="12" t="s">
        <v>49</v>
      </c>
      <c r="B20" s="16" t="s">
        <v>67</v>
      </c>
    </row>
    <row r="21" spans="1:2">
      <c r="A21" s="12" t="s">
        <v>51</v>
      </c>
      <c r="B21" s="16" t="s">
        <v>68</v>
      </c>
    </row>
    <row r="22" ht="28" spans="1:2">
      <c r="A22" s="12" t="s">
        <v>53</v>
      </c>
      <c r="B22" s="16" t="s">
        <v>69</v>
      </c>
    </row>
    <row r="24" ht="15.5" spans="1:2">
      <c r="A24" s="15" t="s">
        <v>70</v>
      </c>
      <c r="B24" s="15"/>
    </row>
    <row r="25" spans="1:2">
      <c r="A25" s="12" t="s">
        <v>47</v>
      </c>
      <c r="B25" s="16" t="s">
        <v>71</v>
      </c>
    </row>
    <row r="26" ht="28" spans="1:2">
      <c r="A26" s="12" t="s">
        <v>49</v>
      </c>
      <c r="B26" s="16" t="s">
        <v>72</v>
      </c>
    </row>
    <row r="27" ht="28" spans="1:2">
      <c r="A27" s="12" t="s">
        <v>51</v>
      </c>
      <c r="B27" s="16" t="s">
        <v>73</v>
      </c>
    </row>
    <row r="28" ht="28" spans="1:2">
      <c r="A28" s="12" t="s">
        <v>53</v>
      </c>
      <c r="B28" s="16" t="s">
        <v>74</v>
      </c>
    </row>
    <row r="30" ht="15.5" spans="1:2">
      <c r="A30" s="15" t="s">
        <v>75</v>
      </c>
      <c r="B30" s="15"/>
    </row>
    <row r="31" ht="28" spans="1:2">
      <c r="A31" s="12" t="s">
        <v>47</v>
      </c>
      <c r="B31" s="16" t="s">
        <v>76</v>
      </c>
    </row>
    <row r="32" spans="1:2">
      <c r="A32" s="12" t="s">
        <v>49</v>
      </c>
      <c r="B32" s="16" t="s">
        <v>77</v>
      </c>
    </row>
    <row r="33" ht="28" spans="1:2">
      <c r="A33" s="12" t="s">
        <v>51</v>
      </c>
      <c r="B33" s="16" t="s">
        <v>78</v>
      </c>
    </row>
    <row r="34" spans="1:2">
      <c r="A34" s="12" t="s">
        <v>53</v>
      </c>
      <c r="B34" s="16" t="s">
        <v>79</v>
      </c>
    </row>
    <row r="36" ht="15.5" spans="1:2">
      <c r="A36" s="15" t="s">
        <v>80</v>
      </c>
      <c r="B36" s="15"/>
    </row>
    <row r="37" spans="1:2">
      <c r="A37" s="12" t="s">
        <v>47</v>
      </c>
      <c r="B37" s="16" t="s">
        <v>81</v>
      </c>
    </row>
    <row r="38" spans="1:2">
      <c r="A38" s="12" t="s">
        <v>49</v>
      </c>
      <c r="B38" s="16" t="s">
        <v>82</v>
      </c>
    </row>
    <row r="39" spans="1:2">
      <c r="A39" s="12" t="s">
        <v>51</v>
      </c>
      <c r="B39" s="16" t="s">
        <v>83</v>
      </c>
    </row>
    <row r="41" ht="15.5" spans="1:2">
      <c r="A41" s="15" t="s">
        <v>84</v>
      </c>
      <c r="B41" s="15"/>
    </row>
    <row r="42" ht="28" spans="1:2">
      <c r="A42" s="12" t="s">
        <v>47</v>
      </c>
      <c r="B42" s="16" t="s">
        <v>85</v>
      </c>
    </row>
    <row r="43" ht="28" spans="1:2">
      <c r="A43" s="12" t="s">
        <v>49</v>
      </c>
      <c r="B43" s="16" t="s">
        <v>86</v>
      </c>
    </row>
    <row r="44" ht="28" spans="1:2">
      <c r="A44" s="12" t="s">
        <v>51</v>
      </c>
      <c r="B44" s="16" t="s">
        <v>87</v>
      </c>
    </row>
    <row r="46" ht="15.5" spans="1:2">
      <c r="A46" s="15" t="s">
        <v>88</v>
      </c>
      <c r="B46" s="15"/>
    </row>
    <row r="47" ht="28" spans="1:2">
      <c r="A47" s="12" t="s">
        <v>47</v>
      </c>
      <c r="B47" s="16" t="s">
        <v>89</v>
      </c>
    </row>
    <row r="48" ht="28" spans="1:2">
      <c r="A48" s="12" t="s">
        <v>49</v>
      </c>
      <c r="B48" s="16" t="s">
        <v>90</v>
      </c>
    </row>
    <row r="49" spans="1:2">
      <c r="A49" s="12" t="s">
        <v>51</v>
      </c>
      <c r="B49" s="16" t="s">
        <v>91</v>
      </c>
    </row>
  </sheetData>
  <mergeCells count="10">
    <mergeCell ref="A1:B1"/>
    <mergeCell ref="A2:B2"/>
    <mergeCell ref="A4:B4"/>
    <mergeCell ref="A13:B13"/>
    <mergeCell ref="A18:B18"/>
    <mergeCell ref="A24:B24"/>
    <mergeCell ref="A30:B30"/>
    <mergeCell ref="A36:B36"/>
    <mergeCell ref="A41:B41"/>
    <mergeCell ref="A46:B4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selection activeCell="A1" sqref="A1:B1"/>
    </sheetView>
  </sheetViews>
  <sheetFormatPr defaultColWidth="8.68181818181818" defaultRowHeight="14.5" outlineLevelCol="1"/>
  <cols>
    <col min="1" max="1" width="42" customWidth="1"/>
    <col min="2" max="2" width="22" customWidth="1"/>
  </cols>
  <sheetData>
    <row r="1" ht="18" spans="1:2">
      <c r="A1" s="6" t="s">
        <v>92</v>
      </c>
      <c r="B1" s="6"/>
    </row>
    <row r="3" ht="15.5" spans="1:2">
      <c r="A3" s="7" t="s">
        <v>46</v>
      </c>
    </row>
    <row r="4" spans="1:2">
      <c r="A4" s="8" t="s">
        <v>93</v>
      </c>
      <c r="B4" s="9">
        <f>SUM('Sales Data'!K2:K201)</f>
        <v>676403.726</v>
      </c>
    </row>
    <row r="5" spans="1:2">
      <c r="A5" s="8" t="s">
        <v>94</v>
      </c>
      <c r="B5" s="9">
        <f>AVERAGE('Sales Data'!H2:H201)</f>
        <v>179.0945</v>
      </c>
    </row>
    <row r="6" spans="1:2">
      <c r="A6" s="8" t="s">
        <v>95</v>
      </c>
      <c r="B6" s="9">
        <f>MIN('Sales Data'!H2:H201)</f>
        <v>7.47</v>
      </c>
    </row>
    <row r="7" spans="1:2">
      <c r="A7" s="8" t="s">
        <v>96</v>
      </c>
      <c r="B7" s="9">
        <f>MAX('Sales Data'!H2:H201)</f>
        <v>910.69</v>
      </c>
    </row>
    <row r="8" spans="1:2">
      <c r="A8" s="8" t="s">
        <v>97</v>
      </c>
      <c r="B8" s="10">
        <f>COUNT('Sales Data'!A2:A201)</f>
        <v>200</v>
      </c>
    </row>
    <row r="10" ht="15.5" spans="1:2">
      <c r="A10" s="7" t="s">
        <v>98</v>
      </c>
    </row>
    <row r="11" spans="1:2">
      <c r="A11" s="3" t="s">
        <v>4</v>
      </c>
      <c r="B11" s="3" t="s">
        <v>5</v>
      </c>
    </row>
    <row r="12" spans="1:2">
      <c r="A12" s="11" t="s">
        <v>35</v>
      </c>
      <c r="B12" s="11" t="s">
        <v>18</v>
      </c>
    </row>
    <row r="13" spans="1:2">
      <c r="A13" s="11" t="s">
        <v>17</v>
      </c>
      <c r="B13" s="11" t="s">
        <v>18</v>
      </c>
    </row>
    <row r="14" spans="1:2">
      <c r="A14" s="11" t="s">
        <v>41</v>
      </c>
      <c r="B14" s="11" t="s">
        <v>29</v>
      </c>
    </row>
    <row r="15" spans="1:2">
      <c r="A15" s="11" t="s">
        <v>31</v>
      </c>
      <c r="B15" s="11" t="s">
        <v>29</v>
      </c>
    </row>
    <row r="16" spans="1:2">
      <c r="A16" s="11" t="s">
        <v>38</v>
      </c>
      <c r="B16" s="11" t="s">
        <v>18</v>
      </c>
    </row>
    <row r="17" spans="1:2">
      <c r="A17" s="11" t="s">
        <v>32</v>
      </c>
      <c r="B17" s="11" t="s">
        <v>33</v>
      </c>
    </row>
    <row r="18" spans="1:2">
      <c r="A18" s="11" t="s">
        <v>40</v>
      </c>
      <c r="B18" s="11" t="s">
        <v>33</v>
      </c>
    </row>
    <row r="19" spans="1:2">
      <c r="A19" s="11" t="s">
        <v>37</v>
      </c>
      <c r="B19" s="11" t="s">
        <v>29</v>
      </c>
    </row>
    <row r="20" spans="1:2">
      <c r="A20" s="11" t="s">
        <v>22</v>
      </c>
      <c r="B20" s="11" t="s">
        <v>18</v>
      </c>
    </row>
    <row r="21" spans="1:2">
      <c r="A21" s="11" t="s">
        <v>28</v>
      </c>
      <c r="B21" s="11" t="s">
        <v>29</v>
      </c>
    </row>
    <row r="23" spans="1:2">
      <c r="A23" s="8" t="s">
        <v>99</v>
      </c>
      <c r="B23" s="10" t="s">
        <v>35</v>
      </c>
    </row>
    <row r="24" spans="1:2">
      <c r="A24" s="8" t="s">
        <v>100</v>
      </c>
      <c r="B24" s="10" t="str">
        <f>VLOOKUP(B23,A12:B21,2,FALSE())</f>
        <v>Electronics</v>
      </c>
    </row>
    <row r="25" ht="28" spans="1:2">
      <c r="A25" s="8" t="s">
        <v>101</v>
      </c>
      <c r="B25" s="10" t="str">
        <f>INDEX('Sales Data'!D2:D201,MATCH(MAX('Sales Data'!K2:K201),'Sales Data'!K2:K201,0))</f>
        <v>Hamza Sheikh</v>
      </c>
    </row>
    <row r="27" ht="15.5" spans="1:2">
      <c r="A27" s="7" t="s">
        <v>102</v>
      </c>
    </row>
    <row r="28" spans="1:2">
      <c r="A28" s="8" t="s">
        <v>103</v>
      </c>
      <c r="B28" s="9">
        <f>SUMIF('Sales Data'!C2:C201,"North",'Sales Data'!K2:K201)</f>
        <v>162152.87</v>
      </c>
    </row>
    <row r="29" ht="28" spans="1:2">
      <c r="A29" s="8" t="s">
        <v>104</v>
      </c>
      <c r="B29" s="9">
        <f>SUMIFS('Sales Data'!K2:K201,'Sales Data'!F2:F201,"Electronics",'Sales Data'!D2:D201,"Ali Raza")</f>
        <v>19722.083</v>
      </c>
    </row>
    <row r="30" spans="1:2">
      <c r="A30" s="3" t="s">
        <v>3</v>
      </c>
      <c r="B30" s="3" t="s">
        <v>105</v>
      </c>
    </row>
    <row r="31" spans="1:2">
      <c r="A31" s="12" t="s">
        <v>39</v>
      </c>
      <c r="B31" s="11">
        <f>COUNTIF('Sales Data'!$D$2:$D$201,A31)</f>
        <v>19</v>
      </c>
    </row>
    <row r="32" spans="1:2">
      <c r="A32" s="12" t="s">
        <v>21</v>
      </c>
      <c r="B32" s="11">
        <f>COUNTIF('Sales Data'!$D$2:$D$201,A32)</f>
        <v>36</v>
      </c>
    </row>
    <row r="33" spans="1:2">
      <c r="A33" s="12" t="s">
        <v>16</v>
      </c>
      <c r="B33" s="11">
        <f>COUNTIF('Sales Data'!$D$2:$D$201,A33)</f>
        <v>26</v>
      </c>
    </row>
    <row r="34" spans="1:2">
      <c r="A34" s="12" t="s">
        <v>34</v>
      </c>
      <c r="B34" s="11">
        <f>COUNTIF('Sales Data'!$D$2:$D$201,A34)</f>
        <v>27</v>
      </c>
    </row>
    <row r="35" spans="1:2">
      <c r="A35" s="12" t="s">
        <v>43</v>
      </c>
      <c r="B35" s="11">
        <f>COUNTIF('Sales Data'!$D$2:$D$201,A35)</f>
        <v>27</v>
      </c>
    </row>
    <row r="36" spans="1:2">
      <c r="A36" s="12" t="s">
        <v>27</v>
      </c>
      <c r="B36" s="11">
        <f>COUNTIF('Sales Data'!$D$2:$D$201,A36)</f>
        <v>18</v>
      </c>
    </row>
    <row r="37" spans="1:2">
      <c r="A37" s="12" t="s">
        <v>25</v>
      </c>
      <c r="B37" s="11">
        <f>COUNTIF('Sales Data'!$D$2:$D$201,A37)</f>
        <v>25</v>
      </c>
    </row>
    <row r="38" spans="1:2">
      <c r="A38" s="12" t="s">
        <v>42</v>
      </c>
      <c r="B38" s="11">
        <f>COUNTIF('Sales Data'!$D$2:$D$201,A38)</f>
        <v>22</v>
      </c>
    </row>
    <row r="40" ht="28" spans="1:2">
      <c r="A40" s="8" t="s">
        <v>106</v>
      </c>
      <c r="B40" s="9">
        <f>AVERAGEIF('Sales Data'!J2:J201,"Online",'Sales Data'!H2:H201)</f>
        <v>174.257922077922</v>
      </c>
    </row>
    <row r="42" ht="15.5" spans="1:2">
      <c r="A42" s="7" t="s">
        <v>107</v>
      </c>
    </row>
    <row r="43" ht="28" spans="1:2">
      <c r="A43" s="8" t="s">
        <v>108</v>
      </c>
      <c r="B43" s="13"/>
    </row>
  </sheetData>
  <mergeCells count="1">
    <mergeCell ref="A1:B1"/>
  </mergeCells>
  <dataValidations count="1">
    <dataValidation type="list" allowBlank="1" sqref="B43">
      <formula1>"North,South,East,West,Central"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A1" sqref="A1:E1"/>
    </sheetView>
  </sheetViews>
  <sheetFormatPr defaultColWidth="8.68181818181818" defaultRowHeight="14.5" outlineLevelCol="4"/>
  <cols>
    <col min="1" max="1" width="16" customWidth="1"/>
    <col min="2" max="5" width="14" customWidth="1"/>
  </cols>
  <sheetData>
    <row r="1" spans="1:5">
      <c r="A1" s="1" t="s">
        <v>109</v>
      </c>
      <c r="B1" s="1"/>
      <c r="C1" s="1"/>
      <c r="D1" s="1"/>
      <c r="E1" s="1"/>
    </row>
    <row r="3" spans="1:5">
      <c r="A3" s="2" t="s">
        <v>2</v>
      </c>
      <c r="B3" s="2" t="s">
        <v>18</v>
      </c>
      <c r="C3" s="2" t="s">
        <v>29</v>
      </c>
      <c r="D3" s="2" t="s">
        <v>33</v>
      </c>
      <c r="E3" s="2" t="s">
        <v>110</v>
      </c>
    </row>
    <row r="4" spans="1:5">
      <c r="A4" s="3" t="s">
        <v>20</v>
      </c>
      <c r="B4" s="4">
        <f>SUMIFS('Sales Data'!$K$2:$K$201,'Sales Data'!$C$2:$C$201,$A4,'Sales Data'!$F$2:$F$201,B$3)</f>
        <v>91378.007</v>
      </c>
      <c r="C4" s="4">
        <f>SUMIFS('Sales Data'!$K$2:$K$201,'Sales Data'!$C$2:$C$201,$A4,'Sales Data'!$F$2:$F$201,C$3)</f>
        <v>69253.69</v>
      </c>
      <c r="D4" s="4">
        <f>SUMIFS('Sales Data'!$K$2:$K$201,'Sales Data'!$C$2:$C$201,$A4,'Sales Data'!$F$2:$F$201,D$3)</f>
        <v>1521.173</v>
      </c>
      <c r="E4" s="5">
        <f>SUM(B4:D4)</f>
        <v>162152.87</v>
      </c>
    </row>
    <row r="5" spans="1:5">
      <c r="A5" s="3" t="s">
        <v>15</v>
      </c>
      <c r="B5" s="4">
        <f>SUMIFS('Sales Data'!$K$2:$K$201,'Sales Data'!$C$2:$C$201,$A5,'Sales Data'!$F$2:$F$201,B$3)</f>
        <v>47214.757</v>
      </c>
      <c r="C5" s="4">
        <f>SUMIFS('Sales Data'!$K$2:$K$201,'Sales Data'!$C$2:$C$201,$A5,'Sales Data'!$F$2:$F$201,C$3)</f>
        <v>35793.993</v>
      </c>
      <c r="D5" s="4">
        <f>SUMIFS('Sales Data'!$K$2:$K$201,'Sales Data'!$C$2:$C$201,$A5,'Sales Data'!$F$2:$F$201,D$3)</f>
        <v>1076.468</v>
      </c>
      <c r="E5" s="5">
        <f>SUM(B5:D5)</f>
        <v>84085.218</v>
      </c>
    </row>
    <row r="6" spans="1:5">
      <c r="A6" s="3" t="s">
        <v>36</v>
      </c>
      <c r="B6" s="4">
        <f>SUMIFS('Sales Data'!$K$2:$K$201,'Sales Data'!$C$2:$C$201,$A6,'Sales Data'!$F$2:$F$201,B$3)</f>
        <v>85581.394</v>
      </c>
      <c r="C6" s="4">
        <f>SUMIFS('Sales Data'!$K$2:$K$201,'Sales Data'!$C$2:$C$201,$A6,'Sales Data'!$F$2:$F$201,C$3)</f>
        <v>79186.833</v>
      </c>
      <c r="D6" s="4">
        <f>SUMIFS('Sales Data'!$K$2:$K$201,'Sales Data'!$C$2:$C$201,$A6,'Sales Data'!$F$2:$F$201,D$3)</f>
        <v>2301.7915</v>
      </c>
      <c r="E6" s="5">
        <f>SUM(B6:D6)</f>
        <v>167070.0185</v>
      </c>
    </row>
    <row r="7" spans="1:5">
      <c r="A7" s="3" t="s">
        <v>26</v>
      </c>
      <c r="B7" s="4">
        <f>SUMIFS('Sales Data'!$K$2:$K$201,'Sales Data'!$C$2:$C$201,$A7,'Sales Data'!$F$2:$F$201,B$3)</f>
        <v>80276.556</v>
      </c>
      <c r="C7" s="4">
        <f>SUMIFS('Sales Data'!$K$2:$K$201,'Sales Data'!$C$2:$C$201,$A7,'Sales Data'!$F$2:$F$201,C$3)</f>
        <v>42056.577</v>
      </c>
      <c r="D7" s="4">
        <f>SUMIFS('Sales Data'!$K$2:$K$201,'Sales Data'!$C$2:$C$201,$A7,'Sales Data'!$F$2:$F$201,D$3)</f>
        <v>1079.507</v>
      </c>
      <c r="E7" s="5">
        <f>SUM(B7:D7)</f>
        <v>123412.64</v>
      </c>
    </row>
    <row r="8" spans="1:5">
      <c r="A8" s="3" t="s">
        <v>24</v>
      </c>
      <c r="B8" s="4">
        <f>SUMIFS('Sales Data'!$K$2:$K$201,'Sales Data'!$C$2:$C$201,$A8,'Sales Data'!$F$2:$F$201,B$3)</f>
        <v>90728.641</v>
      </c>
      <c r="C8" s="4">
        <f>SUMIFS('Sales Data'!$K$2:$K$201,'Sales Data'!$C$2:$C$201,$A8,'Sales Data'!$F$2:$F$201,C$3)</f>
        <v>46729.8225</v>
      </c>
      <c r="D8" s="4">
        <f>SUMIFS('Sales Data'!$K$2:$K$201,'Sales Data'!$C$2:$C$201,$A8,'Sales Data'!$F$2:$F$201,D$3)</f>
        <v>2224.516</v>
      </c>
      <c r="E8" s="5">
        <f>SUM(B8:D8)</f>
        <v>139682.9795</v>
      </c>
    </row>
    <row r="9" spans="1:5">
      <c r="A9" s="3" t="s">
        <v>110</v>
      </c>
      <c r="B9" s="5">
        <f>SUM(B4:B8)</f>
        <v>395179.355</v>
      </c>
      <c r="C9" s="5">
        <f>SUM(C4:C8)</f>
        <v>273020.9155</v>
      </c>
      <c r="D9" s="5">
        <f>SUM(D4:D8)</f>
        <v>8203.4555</v>
      </c>
      <c r="E9" s="5">
        <f>SUM(E4:E8)</f>
        <v>676403.726</v>
      </c>
    </row>
    <row r="12" spans="1:5">
      <c r="A12" s="2" t="s">
        <v>3</v>
      </c>
      <c r="B12" s="2" t="s">
        <v>111</v>
      </c>
    </row>
    <row r="13" spans="1:5">
      <c r="A13" t="s">
        <v>39</v>
      </c>
      <c r="B13" s="4">
        <f>SUMIF('Sales Data'!$D$2:$D$201,A13,'Sales Data'!$K$2:$K$201)</f>
        <v>40809.063</v>
      </c>
    </row>
    <row r="14" spans="1:5">
      <c r="A14" t="s">
        <v>21</v>
      </c>
      <c r="B14" s="4">
        <f>SUMIF('Sales Data'!$D$2:$D$201,A14,'Sales Data'!$K$2:$K$201)</f>
        <v>140812.0105</v>
      </c>
    </row>
    <row r="15" spans="1:5">
      <c r="A15" t="s">
        <v>16</v>
      </c>
      <c r="B15" s="4">
        <f>SUMIF('Sales Data'!$D$2:$D$201,A15,'Sales Data'!$K$2:$K$201)</f>
        <v>85459.081</v>
      </c>
    </row>
    <row r="16" spans="1:5">
      <c r="A16" t="s">
        <v>34</v>
      </c>
      <c r="B16" s="4">
        <f>SUMIF('Sales Data'!$D$2:$D$201,A16,'Sales Data'!$K$2:$K$201)</f>
        <v>69110.9055</v>
      </c>
    </row>
    <row r="17" spans="1:2">
      <c r="A17" t="s">
        <v>43</v>
      </c>
      <c r="B17" s="4">
        <f>SUMIF('Sales Data'!$D$2:$D$201,A17,'Sales Data'!$K$2:$K$201)</f>
        <v>64964.6275</v>
      </c>
    </row>
    <row r="18" spans="1:2">
      <c r="A18" t="s">
        <v>27</v>
      </c>
      <c r="B18" s="4">
        <f>SUMIF('Sales Data'!$D$2:$D$201,A18,'Sales Data'!$K$2:$K$201)</f>
        <v>59606.1205</v>
      </c>
    </row>
    <row r="19" spans="1:2">
      <c r="A19" t="s">
        <v>25</v>
      </c>
      <c r="B19" s="4">
        <f>SUMIF('Sales Data'!$D$2:$D$201,A19,'Sales Data'!$K$2:$K$201)</f>
        <v>124203.344</v>
      </c>
    </row>
    <row r="20" spans="1:2">
      <c r="A20" t="s">
        <v>42</v>
      </c>
      <c r="B20" s="4">
        <f>SUMIF('Sales Data'!$D$2:$D$201,A20,'Sales Data'!$K$2:$K$201)</f>
        <v>91438.574</v>
      </c>
    </row>
    <row r="23" spans="1:2">
      <c r="A23" s="2" t="s">
        <v>112</v>
      </c>
      <c r="B23" s="2" t="s">
        <v>111</v>
      </c>
    </row>
    <row r="24" spans="1:2">
      <c r="A24" t="s">
        <v>113</v>
      </c>
      <c r="B24" s="4">
        <f>SUMPRODUCT((MONTH('Sales Data'!$B$2:$B$201)=1)*'Sales Data'!$K$2:$K$201)</f>
        <v>43511.111</v>
      </c>
    </row>
    <row r="25" spans="1:2">
      <c r="A25" t="s">
        <v>114</v>
      </c>
      <c r="B25" s="4">
        <f>SUMPRODUCT((MONTH('Sales Data'!$B$2:$B$201)=2)*'Sales Data'!$K$2:$K$201)</f>
        <v>90983.572</v>
      </c>
    </row>
    <row r="26" spans="1:2">
      <c r="A26" t="s">
        <v>115</v>
      </c>
      <c r="B26" s="4">
        <f>SUMPRODUCT((MONTH('Sales Data'!$B$2:$B$201)=3)*'Sales Data'!$K$2:$K$201)</f>
        <v>93264.4405</v>
      </c>
    </row>
    <row r="27" spans="1:2">
      <c r="A27" t="s">
        <v>116</v>
      </c>
      <c r="B27" s="4">
        <f>SUMPRODUCT((MONTH('Sales Data'!$B$2:$B$201)=4)*'Sales Data'!$K$2:$K$201)</f>
        <v>31611.668</v>
      </c>
    </row>
    <row r="28" spans="1:2">
      <c r="A28" t="s">
        <v>117</v>
      </c>
      <c r="B28" s="4">
        <f>SUMPRODUCT((MONTH('Sales Data'!$B$2:$B$201)=5)*'Sales Data'!$K$2:$K$201)</f>
        <v>25301.302</v>
      </c>
    </row>
    <row r="29" spans="1:2">
      <c r="A29" t="s">
        <v>118</v>
      </c>
      <c r="B29" s="4">
        <f>SUMPRODUCT((MONTH('Sales Data'!$B$2:$B$201)=6)*'Sales Data'!$K$2:$K$201)</f>
        <v>80923.2295</v>
      </c>
    </row>
    <row r="30" spans="1:2">
      <c r="A30" t="s">
        <v>119</v>
      </c>
      <c r="B30" s="4">
        <f>SUMPRODUCT((MONTH('Sales Data'!$B$2:$B$201)=7)*'Sales Data'!$K$2:$K$201)</f>
        <v>56865.0885</v>
      </c>
    </row>
    <row r="31" spans="1:2">
      <c r="A31" t="s">
        <v>120</v>
      </c>
      <c r="B31" s="4">
        <f>SUMPRODUCT((MONTH('Sales Data'!$B$2:$B$201)=8)*'Sales Data'!$K$2:$K$201)</f>
        <v>61804.5505</v>
      </c>
    </row>
    <row r="32" spans="1:2">
      <c r="A32" t="s">
        <v>121</v>
      </c>
      <c r="B32" s="4">
        <f>SUMPRODUCT((MONTH('Sales Data'!$B$2:$B$201)=9)*'Sales Data'!$K$2:$K$201)</f>
        <v>16237.6485</v>
      </c>
    </row>
    <row r="33" spans="1:2">
      <c r="A33" t="s">
        <v>122</v>
      </c>
      <c r="B33" s="4">
        <f>SUMPRODUCT((MONTH('Sales Data'!$B$2:$B$201)=10)*'Sales Data'!$K$2:$K$201)</f>
        <v>61012.5545</v>
      </c>
    </row>
    <row r="34" spans="1:2">
      <c r="A34" t="s">
        <v>123</v>
      </c>
      <c r="B34" s="4">
        <f>SUMPRODUCT((MONTH('Sales Data'!$B$2:$B$201)=11)*'Sales Data'!$K$2:$K$201)</f>
        <v>67488.729</v>
      </c>
    </row>
    <row r="35" spans="1:2">
      <c r="A35" t="s">
        <v>124</v>
      </c>
      <c r="B35" s="4">
        <f>SUMPRODUCT((MONTH('Sales Data'!$B$2:$B$201)=12)*'Sales Data'!$K$2:$K$201)</f>
        <v>47399.832</v>
      </c>
    </row>
    <row r="38" spans="1:2">
      <c r="A38" s="2" t="s">
        <v>5</v>
      </c>
      <c r="B38" s="2" t="s">
        <v>111</v>
      </c>
    </row>
    <row r="39" spans="1:2">
      <c r="A39" t="s">
        <v>18</v>
      </c>
      <c r="B39" s="4">
        <f>SUMIF('Sales Data'!$F$2:$F$201,A39,'Sales Data'!$K$2:$K$201)</f>
        <v>395179.355</v>
      </c>
    </row>
    <row r="40" spans="1:2">
      <c r="A40" t="s">
        <v>29</v>
      </c>
      <c r="B40" s="4">
        <f>SUMIF('Sales Data'!$F$2:$F$201,A40,'Sales Data'!$K$2:$K$201)</f>
        <v>273020.9155</v>
      </c>
    </row>
    <row r="41" spans="1:2">
      <c r="A41" t="s">
        <v>33</v>
      </c>
      <c r="B41" s="4">
        <f>SUMIF('Sales Data'!$F$2:$F$201,A41,'Sales Data'!$K$2:$K$201)</f>
        <v>8203.4555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 Data</vt:lpstr>
      <vt:lpstr>Practice Questions</vt:lpstr>
      <vt:lpstr>Workspace</vt:lpstr>
      <vt:lpstr>Pivot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asad hamza zahid</cp:lastModifiedBy>
  <cp:revision>1</cp:revision>
  <dcterms:created xsi:type="dcterms:W3CDTF">2026-09-17T15:16:00Z</dcterms:created>
  <dcterms:modified xsi:type="dcterms:W3CDTF">2026-09-21T05:10:09Z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8A7F49B9B46745EFB6D4800B95B820F4_12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